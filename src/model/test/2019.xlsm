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as\ownCloud\Documents\Work\Times\Templates\"/>
    </mc:Choice>
  </mc:AlternateContent>
  <xr:revisionPtr revIDLastSave="0" documentId="13_ncr:1_{2E39CFC9-B218-4EAF-A0DB-13C3DF0F6C44}" xr6:coauthVersionLast="40" xr6:coauthVersionMax="40" xr10:uidLastSave="{00000000-0000-0000-0000-000000000000}"/>
  <workbookProtection lockStructure="1"/>
  <bookViews>
    <workbookView xWindow="0" yWindow="0" windowWidth="28770" windowHeight="11595" xr2:uid="{00000000-000D-0000-FFFF-FFFF00000000}"/>
  </bookViews>
  <sheets>
    <sheet name="Summary" sheetId="1" r:id="rId1"/>
    <sheet name="Week01" sheetId="2" r:id="rId2"/>
    <sheet name="Week02" sheetId="107" r:id="rId3"/>
    <sheet name="Week03" sheetId="108" r:id="rId4"/>
    <sheet name="Week04" sheetId="109" r:id="rId5"/>
    <sheet name="Week05" sheetId="110" r:id="rId6"/>
    <sheet name="Week06" sheetId="111" r:id="rId7"/>
    <sheet name="Week07" sheetId="112" r:id="rId8"/>
    <sheet name="Week08" sheetId="113" r:id="rId9"/>
    <sheet name="Week09" sheetId="114" r:id="rId10"/>
    <sheet name="Week10" sheetId="115" r:id="rId11"/>
    <sheet name="Week11" sheetId="116" r:id="rId12"/>
    <sheet name="Week12" sheetId="117" r:id="rId13"/>
    <sheet name="Week13" sheetId="118" r:id="rId14"/>
    <sheet name="Week14" sheetId="119" r:id="rId15"/>
    <sheet name="Week15" sheetId="120" r:id="rId16"/>
    <sheet name="Week16" sheetId="121" r:id="rId17"/>
    <sheet name="Week17" sheetId="122" r:id="rId18"/>
    <sheet name="Week18" sheetId="123" r:id="rId19"/>
    <sheet name="Week19" sheetId="124" r:id="rId20"/>
    <sheet name="Week20" sheetId="125" r:id="rId21"/>
    <sheet name="Week21" sheetId="126" r:id="rId22"/>
    <sheet name="Week22" sheetId="127" r:id="rId23"/>
    <sheet name="Week23" sheetId="128" r:id="rId24"/>
    <sheet name="Week24" sheetId="129" r:id="rId25"/>
    <sheet name="Week25" sheetId="130" r:id="rId26"/>
    <sheet name="Week26" sheetId="131" r:id="rId27"/>
    <sheet name="Week27" sheetId="132" r:id="rId28"/>
    <sheet name="Week28" sheetId="133" r:id="rId29"/>
    <sheet name="Week29" sheetId="134" r:id="rId30"/>
    <sheet name="Week30" sheetId="135" r:id="rId31"/>
    <sheet name="Week31" sheetId="136" r:id="rId32"/>
    <sheet name="Week32" sheetId="137" r:id="rId33"/>
    <sheet name="Week33" sheetId="138" r:id="rId34"/>
    <sheet name="Week34" sheetId="139" r:id="rId35"/>
    <sheet name="Week35" sheetId="140" r:id="rId36"/>
    <sheet name="Week36" sheetId="141" r:id="rId37"/>
    <sheet name="Week37" sheetId="142" r:id="rId38"/>
    <sheet name="Week38" sheetId="143" r:id="rId39"/>
    <sheet name="Week39" sheetId="144" r:id="rId40"/>
    <sheet name="Week40" sheetId="145" r:id="rId41"/>
    <sheet name="Week41" sheetId="146" r:id="rId42"/>
    <sheet name="Week42" sheetId="147" r:id="rId43"/>
    <sheet name="Week43" sheetId="148" r:id="rId44"/>
    <sheet name="Week44" sheetId="149" r:id="rId45"/>
    <sheet name="Week45" sheetId="150" r:id="rId46"/>
    <sheet name="Week46" sheetId="151" r:id="rId47"/>
    <sheet name="Week47" sheetId="152" r:id="rId48"/>
    <sheet name="Week48" sheetId="153" r:id="rId49"/>
    <sheet name="Week49" sheetId="154" r:id="rId50"/>
    <sheet name="Week50" sheetId="155" r:id="rId51"/>
    <sheet name="Week51" sheetId="156" r:id="rId52"/>
    <sheet name="Week52" sheetId="157" r:id="rId53"/>
    <sheet name="Week53" sheetId="158" state="hidden" r:id="rId54"/>
  </sheets>
  <definedNames>
    <definedName name="ActualHolidays" localSheetId="0">Summary!$B$11</definedName>
    <definedName name="ActualHolidays" localSheetId="1">Week01!$A$2</definedName>
    <definedName name="ActualHolidays" localSheetId="2">Week02!$A$2</definedName>
    <definedName name="ActualHolidays" localSheetId="3">Week03!$A$2</definedName>
    <definedName name="ActualHolidays" localSheetId="4">Week04!$A$2</definedName>
    <definedName name="ActualHolidays" localSheetId="5">Week05!$A$2</definedName>
    <definedName name="ActualHolidays" localSheetId="6">Week06!$A$2</definedName>
    <definedName name="ActualHolidays" localSheetId="7">Week07!$A$2</definedName>
    <definedName name="ActualHolidays" localSheetId="8">Week08!$A$2</definedName>
    <definedName name="ActualHolidays" localSheetId="9">Week09!$A$2</definedName>
    <definedName name="ActualHolidays" localSheetId="10">Week10!$A$2</definedName>
    <definedName name="ActualHolidays" localSheetId="11">Week11!$A$2</definedName>
    <definedName name="ActualHolidays" localSheetId="12">Week12!$A$2</definedName>
    <definedName name="ActualHolidays" localSheetId="13">Week13!$A$2</definedName>
    <definedName name="ActualHolidays" localSheetId="14">Week14!$A$2</definedName>
    <definedName name="ActualHolidays" localSheetId="15">Week15!$A$2</definedName>
    <definedName name="ActualHolidays" localSheetId="16">Week16!$A$2</definedName>
    <definedName name="ActualHolidays" localSheetId="17">Week17!$A$2</definedName>
    <definedName name="ActualHolidays" localSheetId="18">Week18!$A$2</definedName>
    <definedName name="ActualHolidays" localSheetId="19">Week19!$A$2</definedName>
    <definedName name="ActualHolidays" localSheetId="20">Week20!$A$2</definedName>
    <definedName name="ActualHolidays" localSheetId="21">Week21!$A$2</definedName>
    <definedName name="ActualHolidays" localSheetId="22">Week22!$A$2</definedName>
    <definedName name="ActualHolidays" localSheetId="23">Week23!$A$2</definedName>
    <definedName name="ActualHolidays" localSheetId="24">Week24!$A$2</definedName>
    <definedName name="ActualHolidays" localSheetId="25">Week25!$A$2</definedName>
    <definedName name="ActualHolidays" localSheetId="26">Week26!$A$2</definedName>
    <definedName name="ActualHolidays" localSheetId="27">Week27!$A$2</definedName>
    <definedName name="ActualHolidays" localSheetId="28">Week28!$A$2</definedName>
    <definedName name="ActualHolidays" localSheetId="29">Week29!$A$2</definedName>
    <definedName name="ActualHolidays" localSheetId="30">Week30!$A$2</definedName>
    <definedName name="ActualHolidays" localSheetId="31">Week31!$A$2</definedName>
    <definedName name="ActualHolidays" localSheetId="32">Week32!$A$2</definedName>
    <definedName name="ActualHolidays" localSheetId="33">Week33!$A$2</definedName>
    <definedName name="ActualHolidays" localSheetId="34">Week34!$A$2</definedName>
    <definedName name="ActualHolidays" localSheetId="35">Week35!$A$2</definedName>
    <definedName name="ActualHolidays" localSheetId="36">Week36!$A$2</definedName>
    <definedName name="ActualHolidays" localSheetId="37">Week37!$A$2</definedName>
    <definedName name="ActualHolidays" localSheetId="38">Week38!$A$2</definedName>
    <definedName name="ActualHolidays" localSheetId="39">Week39!$A$2</definedName>
    <definedName name="ActualHolidays" localSheetId="40">Week40!$A$2</definedName>
    <definedName name="ActualHolidays" localSheetId="41">Week41!$A$2</definedName>
    <definedName name="ActualHolidays" localSheetId="42">Week42!$A$2</definedName>
    <definedName name="ActualHolidays" localSheetId="43">Week43!$A$2</definedName>
    <definedName name="ActualHolidays" localSheetId="44">Week44!$A$2</definedName>
    <definedName name="ActualHolidays" localSheetId="45">Week45!$A$2</definedName>
    <definedName name="ActualHolidays" localSheetId="46">Week46!$A$2</definedName>
    <definedName name="ActualHolidays" localSheetId="47">Week47!$A$2</definedName>
    <definedName name="ActualHolidays" localSheetId="48">Week48!$A$2</definedName>
    <definedName name="ActualHolidays" localSheetId="49">Week49!$A$2</definedName>
    <definedName name="ActualHolidays" localSheetId="50">Week50!$A$2</definedName>
    <definedName name="ActualHolidays" localSheetId="51">Week51!$A$2</definedName>
    <definedName name="ActualHolidays" localSheetId="52">Week52!$A$2</definedName>
    <definedName name="ActualHolidays" localSheetId="53">Week53!$A$2</definedName>
    <definedName name="ActualHours" localSheetId="1">Week01!$D$2</definedName>
    <definedName name="ActualHours" localSheetId="2">Week02!$D$2</definedName>
    <definedName name="ActualHours" localSheetId="3">Week03!$D$2</definedName>
    <definedName name="ActualHours" localSheetId="4">Week04!$D$2</definedName>
    <definedName name="ActualHours" localSheetId="5">Week05!$D$2</definedName>
    <definedName name="ActualHours" localSheetId="6">Week06!$D$2</definedName>
    <definedName name="ActualHours" localSheetId="7">Week07!$D$2</definedName>
    <definedName name="ActualHours" localSheetId="8">Week08!$D$2</definedName>
    <definedName name="ActualHours" localSheetId="9">Week09!$D$2</definedName>
    <definedName name="ActualHours" localSheetId="10">Week10!$D$2</definedName>
    <definedName name="ActualHours" localSheetId="11">Week11!$D$2</definedName>
    <definedName name="ActualHours" localSheetId="12">Week12!$D$2</definedName>
    <definedName name="ActualHours" localSheetId="13">Week13!$D$2</definedName>
    <definedName name="ActualHours" localSheetId="14">Week14!$D$2</definedName>
    <definedName name="ActualHours" localSheetId="15">Week15!$D$2</definedName>
    <definedName name="ActualHours" localSheetId="16">Week16!$D$2</definedName>
    <definedName name="ActualHours" localSheetId="17">Week17!$D$2</definedName>
    <definedName name="ActualHours" localSheetId="18">Week18!$D$2</definedName>
    <definedName name="ActualHours" localSheetId="19">Week19!$D$2</definedName>
    <definedName name="ActualHours" localSheetId="20">Week20!$D$2</definedName>
    <definedName name="ActualHours" localSheetId="21">Week21!$D$2</definedName>
    <definedName name="ActualHours" localSheetId="22">Week22!$D$2</definedName>
    <definedName name="ActualHours" localSheetId="23">Week23!$D$2</definedName>
    <definedName name="ActualHours" localSheetId="24">Week24!$D$2</definedName>
    <definedName name="ActualHours" localSheetId="25">Week25!$D$2</definedName>
    <definedName name="ActualHours" localSheetId="26">Week26!$D$2</definedName>
    <definedName name="ActualHours" localSheetId="27">Week27!$D$2</definedName>
    <definedName name="ActualHours" localSheetId="28">Week28!$D$2</definedName>
    <definedName name="ActualHours" localSheetId="29">Week29!$D$2</definedName>
    <definedName name="ActualHours" localSheetId="30">Week30!$D$2</definedName>
    <definedName name="ActualHours" localSheetId="31">Week31!$D$2</definedName>
    <definedName name="ActualHours" localSheetId="32">Week32!$D$2</definedName>
    <definedName name="ActualHours" localSheetId="33">Week33!$D$2</definedName>
    <definedName name="ActualHours" localSheetId="34">Week34!$D$2</definedName>
    <definedName name="ActualHours" localSheetId="35">Week35!$D$2</definedName>
    <definedName name="ActualHours" localSheetId="36">Week36!$D$2</definedName>
    <definedName name="ActualHours" localSheetId="37">Week37!$D$2</definedName>
    <definedName name="ActualHours" localSheetId="38">Week38!$D$2</definedName>
    <definedName name="ActualHours" localSheetId="39">Week39!$D$2</definedName>
    <definedName name="ActualHours" localSheetId="40">Week40!$D$2</definedName>
    <definedName name="ActualHours" localSheetId="41">Week41!$D$2</definedName>
    <definedName name="ActualHours" localSheetId="42">Week42!$D$2</definedName>
    <definedName name="ActualHours" localSheetId="43">Week43!$D$2</definedName>
    <definedName name="ActualHours" localSheetId="44">Week44!$D$2</definedName>
    <definedName name="ActualHours" localSheetId="45">Week45!$D$2</definedName>
    <definedName name="ActualHours" localSheetId="46">Week46!$D$2</definedName>
    <definedName name="ActualHours" localSheetId="47">Week47!$D$2</definedName>
    <definedName name="ActualHours" localSheetId="48">Week48!$D$2</definedName>
    <definedName name="ActualHours" localSheetId="49">Week49!$D$2</definedName>
    <definedName name="ActualHours" localSheetId="50">Week50!$D$2</definedName>
    <definedName name="ActualHours" localSheetId="51">Week51!$D$2</definedName>
    <definedName name="ActualHours" localSheetId="52">Week52!$D$2</definedName>
    <definedName name="ActualHours" localSheetId="53">Week53!$D$2</definedName>
    <definedName name="AllocatedDailyWorkingFraction">Summary!$F$1</definedName>
    <definedName name="AllocatedHours" localSheetId="1">Week01!$C$2</definedName>
    <definedName name="AllocatedHours" localSheetId="2">Week02!$C$2</definedName>
    <definedName name="AllocatedHours" localSheetId="3">Week03!$C$2</definedName>
    <definedName name="AllocatedHours" localSheetId="4">Week04!$C$2</definedName>
    <definedName name="AllocatedHours" localSheetId="5">Week05!$C$2</definedName>
    <definedName name="AllocatedHours" localSheetId="6">Week06!$C$2</definedName>
    <definedName name="AllocatedHours" localSheetId="7">Week07!$C$2</definedName>
    <definedName name="AllocatedHours" localSheetId="8">Week08!$C$2</definedName>
    <definedName name="AllocatedHours" localSheetId="9">Week09!$C$2</definedName>
    <definedName name="AllocatedHours" localSheetId="10">Week10!$C$2</definedName>
    <definedName name="AllocatedHours" localSheetId="11">Week11!$C$2</definedName>
    <definedName name="AllocatedHours" localSheetId="12">Week12!$C$2</definedName>
    <definedName name="AllocatedHours" localSheetId="13">Week13!$C$2</definedName>
    <definedName name="AllocatedHours" localSheetId="14">Week14!$C$2</definedName>
    <definedName name="AllocatedHours" localSheetId="15">Week15!$C$2</definedName>
    <definedName name="AllocatedHours" localSheetId="16">Week16!$C$2</definedName>
    <definedName name="AllocatedHours" localSheetId="17">Week17!$C$2</definedName>
    <definedName name="AllocatedHours" localSheetId="18">Week18!$C$2</definedName>
    <definedName name="AllocatedHours" localSheetId="19">Week19!$C$2</definedName>
    <definedName name="AllocatedHours" localSheetId="20">Week20!$C$2</definedName>
    <definedName name="AllocatedHours" localSheetId="21">Week21!$C$2</definedName>
    <definedName name="AllocatedHours" localSheetId="22">Week22!$C$2</definedName>
    <definedName name="AllocatedHours" localSheetId="23">Week23!$C$2</definedName>
    <definedName name="AllocatedHours" localSheetId="24">Week24!$C$2</definedName>
    <definedName name="AllocatedHours" localSheetId="25">Week25!$C$2</definedName>
    <definedName name="AllocatedHours" localSheetId="26">Week26!$C$2</definedName>
    <definedName name="AllocatedHours" localSheetId="27">Week27!$C$2</definedName>
    <definedName name="AllocatedHours" localSheetId="28">Week28!$C$2</definedName>
    <definedName name="AllocatedHours" localSheetId="29">Week29!$C$2</definedName>
    <definedName name="AllocatedHours" localSheetId="30">Week30!$C$2</definedName>
    <definedName name="AllocatedHours" localSheetId="31">Week31!$C$2</definedName>
    <definedName name="AllocatedHours" localSheetId="32">Week32!$C$2</definedName>
    <definedName name="AllocatedHours" localSheetId="33">Week33!$C$2</definedName>
    <definedName name="AllocatedHours" localSheetId="34">Week34!$C$2</definedName>
    <definedName name="AllocatedHours" localSheetId="35">Week35!$C$2</definedName>
    <definedName name="AllocatedHours" localSheetId="36">Week36!$C$2</definedName>
    <definedName name="AllocatedHours" localSheetId="37">Week37!$C$2</definedName>
    <definedName name="AllocatedHours" localSheetId="38">Week38!$C$2</definedName>
    <definedName name="AllocatedHours" localSheetId="39">Week39!$C$2</definedName>
    <definedName name="AllocatedHours" localSheetId="40">Week40!$C$2</definedName>
    <definedName name="AllocatedHours" localSheetId="41">Week41!$C$2</definedName>
    <definedName name="AllocatedHours" localSheetId="42">Week42!$C$2</definedName>
    <definedName name="AllocatedHours" localSheetId="43">Week43!$C$2</definedName>
    <definedName name="AllocatedHours" localSheetId="44">Week44!$C$2</definedName>
    <definedName name="AllocatedHours" localSheetId="45">Week45!$C$2</definedName>
    <definedName name="AllocatedHours" localSheetId="46">Week46!$C$2</definedName>
    <definedName name="AllocatedHours" localSheetId="47">Week47!$C$2</definedName>
    <definedName name="AllocatedHours" localSheetId="48">Week48!$C$2</definedName>
    <definedName name="AllocatedHours" localSheetId="49">Week49!$C$2</definedName>
    <definedName name="AllocatedHours" localSheetId="50">Week50!$C$2</definedName>
    <definedName name="AllocatedHours" localSheetId="51">Week51!$C$2</definedName>
    <definedName name="AllocatedHours" localSheetId="52">Week52!$C$2</definedName>
    <definedName name="AllocatedHours" localSheetId="53">Week53!$C$2</definedName>
    <definedName name="AllocatedWorkingDays">Summary!$G$13:$G$65</definedName>
    <definedName name="NumberOfWeeks" localSheetId="0">Summary!$I$19</definedName>
    <definedName name="OtherPaidAbsences" localSheetId="1">Week01!$B$2</definedName>
    <definedName name="OtherPaidAbsences" localSheetId="2">Week02!$B$2</definedName>
    <definedName name="OtherPaidAbsences" localSheetId="3">Week03!$B$2</definedName>
    <definedName name="OtherPaidAbsences" localSheetId="4">Week04!$B$2</definedName>
    <definedName name="OtherPaidAbsences" localSheetId="5">Week05!$B$2</definedName>
    <definedName name="OtherPaidAbsences" localSheetId="6">Week06!$B$2</definedName>
    <definedName name="OtherPaidAbsences" localSheetId="7">Week07!$B$2</definedName>
    <definedName name="OtherPaidAbsences" localSheetId="8">Week08!$B$2</definedName>
    <definedName name="OtherPaidAbsences" localSheetId="9">Week09!$B$2</definedName>
    <definedName name="OtherPaidAbsences" localSheetId="10">Week10!$B$2</definedName>
    <definedName name="OtherPaidAbsences" localSheetId="11">Week11!$B$2</definedName>
    <definedName name="OtherPaidAbsences" localSheetId="12">Week12!$B$2</definedName>
    <definedName name="OtherPaidAbsences" localSheetId="13">Week13!$B$2</definedName>
    <definedName name="OtherPaidAbsences" localSheetId="14">Week14!$B$2</definedName>
    <definedName name="OtherPaidAbsences" localSheetId="15">Week15!$B$2</definedName>
    <definedName name="OtherPaidAbsences" localSheetId="16">Week16!$B$2</definedName>
    <definedName name="OtherPaidAbsences" localSheetId="17">Week17!$B$2</definedName>
    <definedName name="OtherPaidAbsences" localSheetId="18">Week18!$B$2</definedName>
    <definedName name="OtherPaidAbsences" localSheetId="19">Week19!$B$2</definedName>
    <definedName name="OtherPaidAbsences" localSheetId="20">Week20!$B$2</definedName>
    <definedName name="OtherPaidAbsences" localSheetId="21">Week21!$B$2</definedName>
    <definedName name="OtherPaidAbsences" localSheetId="22">Week22!$B$2</definedName>
    <definedName name="OtherPaidAbsences" localSheetId="23">Week23!$B$2</definedName>
    <definedName name="OtherPaidAbsences" localSheetId="24">Week24!$B$2</definedName>
    <definedName name="OtherPaidAbsences" localSheetId="25">Week25!$B$2</definedName>
    <definedName name="OtherPaidAbsences" localSheetId="26">Week26!$B$2</definedName>
    <definedName name="OtherPaidAbsences" localSheetId="27">Week27!$B$2</definedName>
    <definedName name="OtherPaidAbsences" localSheetId="28">Week28!$B$2</definedName>
    <definedName name="OtherPaidAbsences" localSheetId="29">Week29!$B$2</definedName>
    <definedName name="OtherPaidAbsences" localSheetId="30">Week30!$B$2</definedName>
    <definedName name="OtherPaidAbsences" localSheetId="31">Week31!$B$2</definedName>
    <definedName name="OtherPaidAbsences" localSheetId="32">Week32!$B$2</definedName>
    <definedName name="OtherPaidAbsences" localSheetId="33">Week33!$B$2</definedName>
    <definedName name="OtherPaidAbsences" localSheetId="34">Week34!$B$2</definedName>
    <definedName name="OtherPaidAbsences" localSheetId="35">Week35!$B$2</definedName>
    <definedName name="OtherPaidAbsences" localSheetId="36">Week36!$B$2</definedName>
    <definedName name="OtherPaidAbsences" localSheetId="37">Week37!$B$2</definedName>
    <definedName name="OtherPaidAbsences" localSheetId="38">Week38!$B$2</definedName>
    <definedName name="OtherPaidAbsences" localSheetId="39">Week39!$B$2</definedName>
    <definedName name="OtherPaidAbsences" localSheetId="40">Week40!$B$2</definedName>
    <definedName name="OtherPaidAbsences" localSheetId="41">Week41!$B$2</definedName>
    <definedName name="OtherPaidAbsences" localSheetId="42">Week42!$B$2</definedName>
    <definedName name="OtherPaidAbsences" localSheetId="43">Week43!$B$2</definedName>
    <definedName name="OtherPaidAbsences" localSheetId="44">Week44!$B$2</definedName>
    <definedName name="OtherPaidAbsences" localSheetId="45">Week45!$B$2</definedName>
    <definedName name="OtherPaidAbsences" localSheetId="46">Week46!$B$2</definedName>
    <definedName name="OtherPaidAbsences" localSheetId="47">Week47!$B$2</definedName>
    <definedName name="OtherPaidAbsences" localSheetId="48">Week48!$B$2</definedName>
    <definedName name="OtherPaidAbsences" localSheetId="49">Week49!$B$2</definedName>
    <definedName name="OtherPaidAbsences" localSheetId="50">Week50!$B$2</definedName>
    <definedName name="OtherPaidAbsences" localSheetId="51">Week51!$B$2</definedName>
    <definedName name="OtherPaidAbsences" localSheetId="52">Week52!$B$2</definedName>
    <definedName name="OtherPaidAbsences" localSheetId="53">Week53!$B$2</definedName>
    <definedName name="OvertimeDays" localSheetId="0">Summary!$F$11</definedName>
    <definedName name="SpentTimeTypes">Summary!$I$13:$I$17</definedName>
    <definedName name="Week53Row" localSheetId="0">Summary!$A$65:$F$65</definedName>
    <definedName name="WeekNumber" localSheetId="1">Week01!$A$62</definedName>
    <definedName name="WeekNumber" localSheetId="2">Week02!$A$62</definedName>
    <definedName name="WeekNumber" localSheetId="3">Week03!$A$62</definedName>
    <definedName name="WeekNumber" localSheetId="4">Week04!$A$62</definedName>
    <definedName name="WeekNumber" localSheetId="5">Week05!$A$62</definedName>
    <definedName name="WeekNumber" localSheetId="6">Week06!$A$62</definedName>
    <definedName name="WeekNumber" localSheetId="7">Week07!$A$62</definedName>
    <definedName name="WeekNumber" localSheetId="8">Week08!$A$62</definedName>
    <definedName name="WeekNumber" localSheetId="9">Week09!$A$62</definedName>
    <definedName name="WeekNumber" localSheetId="10">Week10!$A$62</definedName>
    <definedName name="WeekNumber" localSheetId="11">Week11!$A$62</definedName>
    <definedName name="WeekNumber" localSheetId="12">Week12!$A$62</definedName>
    <definedName name="WeekNumber" localSheetId="13">Week13!$A$62</definedName>
    <definedName name="WeekNumber" localSheetId="14">Week14!$A$62</definedName>
    <definedName name="WeekNumber" localSheetId="15">Week15!$A$62</definedName>
    <definedName name="WeekNumber" localSheetId="16">Week16!$A$62</definedName>
    <definedName name="WeekNumber" localSheetId="17">Week17!$A$62</definedName>
    <definedName name="WeekNumber" localSheetId="18">Week18!$A$62</definedName>
    <definedName name="WeekNumber" localSheetId="19">Week19!$A$62</definedName>
    <definedName name="WeekNumber" localSheetId="20">Week20!$A$62</definedName>
    <definedName name="WeekNumber" localSheetId="21">Week21!$A$62</definedName>
    <definedName name="WeekNumber" localSheetId="22">Week22!$A$62</definedName>
    <definedName name="WeekNumber" localSheetId="23">Week23!$A$62</definedName>
    <definedName name="WeekNumber" localSheetId="24">Week24!$A$62</definedName>
    <definedName name="WeekNumber" localSheetId="25">Week25!$A$62</definedName>
    <definedName name="WeekNumber" localSheetId="26">Week26!$A$62</definedName>
    <definedName name="WeekNumber" localSheetId="27">Week27!$A$62</definedName>
    <definedName name="WeekNumber" localSheetId="28">Week28!$A$62</definedName>
    <definedName name="WeekNumber" localSheetId="29">Week29!$A$62</definedName>
    <definedName name="WeekNumber" localSheetId="30">Week30!$A$62</definedName>
    <definedName name="WeekNumber" localSheetId="31">Week31!$A$62</definedName>
    <definedName name="WeekNumber" localSheetId="32">Week32!$A$62</definedName>
    <definedName name="WeekNumber" localSheetId="33">Week33!$A$62</definedName>
    <definedName name="WeekNumber" localSheetId="34">Week34!$A$62</definedName>
    <definedName name="WeekNumber" localSheetId="35">Week35!$A$62</definedName>
    <definedName name="WeekNumber" localSheetId="36">Week36!$A$62</definedName>
    <definedName name="WeekNumber" localSheetId="37">Week37!$A$62</definedName>
    <definedName name="WeekNumber" localSheetId="38">Week38!$A$62</definedName>
    <definedName name="WeekNumber" localSheetId="39">Week39!$A$62</definedName>
    <definedName name="WeekNumber" localSheetId="40">Week40!$A$62</definedName>
    <definedName name="WeekNumber" localSheetId="41">Week41!$A$62</definedName>
    <definedName name="WeekNumber" localSheetId="42">Week42!$A$62</definedName>
    <definedName name="WeekNumber" localSheetId="43">Week43!$A$62</definedName>
    <definedName name="WeekNumber" localSheetId="44">Week44!$A$62</definedName>
    <definedName name="WeekNumber" localSheetId="45">Week45!$A$62</definedName>
    <definedName name="WeekNumber" localSheetId="46">Week46!$A$62</definedName>
    <definedName name="WeekNumber" localSheetId="47">Week47!$A$62</definedName>
    <definedName name="WeekNumber" localSheetId="48">Week48!$A$62</definedName>
    <definedName name="WeekNumber" localSheetId="49">Week49!$A$62</definedName>
    <definedName name="WeekNumber" localSheetId="50">Week50!$A$62</definedName>
    <definedName name="WeekNumber" localSheetId="51">Week51!$A$62</definedName>
    <definedName name="WeekNumber" localSheetId="52">Week52!$A$62</definedName>
    <definedName name="WeekNumber" localSheetId="53">Week53!$A$62</definedName>
    <definedName name="Year">Summary!$I$11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2" i="158" l="1"/>
  <c r="D60" i="158"/>
  <c r="C60" i="158"/>
  <c r="D59" i="158"/>
  <c r="C59" i="158"/>
  <c r="D58" i="158"/>
  <c r="C58" i="158"/>
  <c r="D57" i="158"/>
  <c r="C57" i="158"/>
  <c r="D56" i="158"/>
  <c r="C56" i="158"/>
  <c r="D55" i="158"/>
  <c r="C55" i="158"/>
  <c r="D54" i="158"/>
  <c r="C54" i="158"/>
  <c r="D53" i="158"/>
  <c r="C53" i="158"/>
  <c r="D52" i="158"/>
  <c r="C52" i="158"/>
  <c r="D51" i="158"/>
  <c r="C51" i="158"/>
  <c r="D50" i="158"/>
  <c r="C50" i="158"/>
  <c r="D49" i="158"/>
  <c r="C49" i="158"/>
  <c r="D48" i="158"/>
  <c r="C48" i="158"/>
  <c r="D47" i="158"/>
  <c r="C47" i="158"/>
  <c r="D46" i="158"/>
  <c r="C46" i="158"/>
  <c r="D45" i="158"/>
  <c r="C45" i="158"/>
  <c r="D44" i="158"/>
  <c r="C44" i="158"/>
  <c r="D43" i="158"/>
  <c r="C43" i="158"/>
  <c r="D42" i="158"/>
  <c r="C42" i="158"/>
  <c r="D41" i="158"/>
  <c r="C41" i="158"/>
  <c r="D40" i="158"/>
  <c r="C40" i="158"/>
  <c r="D39" i="158"/>
  <c r="C39" i="158"/>
  <c r="D38" i="158"/>
  <c r="C38" i="158"/>
  <c r="D37" i="158"/>
  <c r="C37" i="158"/>
  <c r="D36" i="158"/>
  <c r="C36" i="158"/>
  <c r="D35" i="158"/>
  <c r="C35" i="158"/>
  <c r="D34" i="158"/>
  <c r="C34" i="158"/>
  <c r="D33" i="158"/>
  <c r="C33" i="158"/>
  <c r="D32" i="158"/>
  <c r="C32" i="158"/>
  <c r="D31" i="158"/>
  <c r="C31" i="158"/>
  <c r="D30" i="158"/>
  <c r="C30" i="158"/>
  <c r="D29" i="158"/>
  <c r="C29" i="158"/>
  <c r="D28" i="158"/>
  <c r="C28" i="158"/>
  <c r="D27" i="158"/>
  <c r="C27" i="158"/>
  <c r="D26" i="158"/>
  <c r="C26" i="158"/>
  <c r="D25" i="158"/>
  <c r="C25" i="158"/>
  <c r="D24" i="158"/>
  <c r="C24" i="158"/>
  <c r="D23" i="158"/>
  <c r="C23" i="158"/>
  <c r="D22" i="158"/>
  <c r="C22" i="158"/>
  <c r="D21" i="158"/>
  <c r="C21" i="158"/>
  <c r="D20" i="158"/>
  <c r="C20" i="158"/>
  <c r="D19" i="158"/>
  <c r="C19" i="158"/>
  <c r="D18" i="158"/>
  <c r="C18" i="158"/>
  <c r="D17" i="158"/>
  <c r="C17" i="158"/>
  <c r="D16" i="158"/>
  <c r="C16" i="158"/>
  <c r="D15" i="158"/>
  <c r="C15" i="158"/>
  <c r="D14" i="158"/>
  <c r="C14" i="158"/>
  <c r="D13" i="158"/>
  <c r="C13" i="158"/>
  <c r="D12" i="158"/>
  <c r="C12" i="158"/>
  <c r="D11" i="158"/>
  <c r="C11" i="158"/>
  <c r="D10" i="158"/>
  <c r="C10" i="158"/>
  <c r="D9" i="158"/>
  <c r="C9" i="158"/>
  <c r="D8" i="158"/>
  <c r="C8" i="158"/>
  <c r="D7" i="158"/>
  <c r="C7" i="158"/>
  <c r="D6" i="158"/>
  <c r="C6" i="158"/>
  <c r="D5" i="158"/>
  <c r="C5" i="158"/>
  <c r="B2" i="158"/>
  <c r="A2" i="158"/>
  <c r="A62" i="157"/>
  <c r="D60" i="157"/>
  <c r="C60" i="157"/>
  <c r="D59" i="157"/>
  <c r="C59" i="157"/>
  <c r="D58" i="157"/>
  <c r="C58" i="157"/>
  <c r="D57" i="157"/>
  <c r="C57" i="157"/>
  <c r="D56" i="157"/>
  <c r="C56" i="157"/>
  <c r="D55" i="157"/>
  <c r="C55" i="157"/>
  <c r="D54" i="157"/>
  <c r="C54" i="157"/>
  <c r="D53" i="157"/>
  <c r="C53" i="157"/>
  <c r="D52" i="157"/>
  <c r="C52" i="157"/>
  <c r="D51" i="157"/>
  <c r="C51" i="157"/>
  <c r="D50" i="157"/>
  <c r="C50" i="157"/>
  <c r="D49" i="157"/>
  <c r="C49" i="157"/>
  <c r="D48" i="157"/>
  <c r="C48" i="157"/>
  <c r="D47" i="157"/>
  <c r="C47" i="157"/>
  <c r="D46" i="157"/>
  <c r="C46" i="157"/>
  <c r="D45" i="157"/>
  <c r="C45" i="157"/>
  <c r="D44" i="157"/>
  <c r="C44" i="157"/>
  <c r="D43" i="157"/>
  <c r="C43" i="157"/>
  <c r="D42" i="157"/>
  <c r="C42" i="157"/>
  <c r="D41" i="157"/>
  <c r="C41" i="157"/>
  <c r="D40" i="157"/>
  <c r="C40" i="157"/>
  <c r="D39" i="157"/>
  <c r="C39" i="157"/>
  <c r="D38" i="157"/>
  <c r="C38" i="157"/>
  <c r="D37" i="157"/>
  <c r="C37" i="157"/>
  <c r="D36" i="157"/>
  <c r="C36" i="157"/>
  <c r="D35" i="157"/>
  <c r="C35" i="157"/>
  <c r="D34" i="157"/>
  <c r="C34" i="157"/>
  <c r="D33" i="157"/>
  <c r="C33" i="157"/>
  <c r="D32" i="157"/>
  <c r="C32" i="157"/>
  <c r="D31" i="157"/>
  <c r="C31" i="157"/>
  <c r="D30" i="157"/>
  <c r="C30" i="157"/>
  <c r="D29" i="157"/>
  <c r="C29" i="157"/>
  <c r="D28" i="157"/>
  <c r="C28" i="157"/>
  <c r="D27" i="157"/>
  <c r="C27" i="157"/>
  <c r="D26" i="157"/>
  <c r="C26" i="157"/>
  <c r="D25" i="157"/>
  <c r="C25" i="157"/>
  <c r="D24" i="157"/>
  <c r="C24" i="157"/>
  <c r="D23" i="157"/>
  <c r="C23" i="157"/>
  <c r="D22" i="157"/>
  <c r="C22" i="157"/>
  <c r="D21" i="157"/>
  <c r="C21" i="157"/>
  <c r="D20" i="157"/>
  <c r="C20" i="157"/>
  <c r="D19" i="157"/>
  <c r="C19" i="157"/>
  <c r="D18" i="157"/>
  <c r="C18" i="157"/>
  <c r="D17" i="157"/>
  <c r="C17" i="157"/>
  <c r="D16" i="157"/>
  <c r="C16" i="157"/>
  <c r="D15" i="157"/>
  <c r="C15" i="157"/>
  <c r="D14" i="157"/>
  <c r="C14" i="157"/>
  <c r="D13" i="157"/>
  <c r="C13" i="157"/>
  <c r="D12" i="157"/>
  <c r="C12" i="157"/>
  <c r="D11" i="157"/>
  <c r="C11" i="157"/>
  <c r="D10" i="157"/>
  <c r="C10" i="157"/>
  <c r="D9" i="157"/>
  <c r="C9" i="157"/>
  <c r="D8" i="157"/>
  <c r="C8" i="157"/>
  <c r="D7" i="157"/>
  <c r="C7" i="157"/>
  <c r="D6" i="157"/>
  <c r="C6" i="157"/>
  <c r="D5" i="157"/>
  <c r="C5" i="157"/>
  <c r="B2" i="157"/>
  <c r="A2" i="157"/>
  <c r="A62" i="156"/>
  <c r="D60" i="156"/>
  <c r="C60" i="156"/>
  <c r="D59" i="156"/>
  <c r="C59" i="156"/>
  <c r="D58" i="156"/>
  <c r="C58" i="156"/>
  <c r="D57" i="156"/>
  <c r="C57" i="156"/>
  <c r="D56" i="156"/>
  <c r="C56" i="156"/>
  <c r="D55" i="156"/>
  <c r="C55" i="156"/>
  <c r="D54" i="156"/>
  <c r="C54" i="156"/>
  <c r="D53" i="156"/>
  <c r="C53" i="156"/>
  <c r="D52" i="156"/>
  <c r="C52" i="156"/>
  <c r="D51" i="156"/>
  <c r="C51" i="156"/>
  <c r="D50" i="156"/>
  <c r="C50" i="156"/>
  <c r="D49" i="156"/>
  <c r="C49" i="156"/>
  <c r="D48" i="156"/>
  <c r="C48" i="156"/>
  <c r="D47" i="156"/>
  <c r="C47" i="156"/>
  <c r="D46" i="156"/>
  <c r="C46" i="156"/>
  <c r="D45" i="156"/>
  <c r="C45" i="156"/>
  <c r="D44" i="156"/>
  <c r="C44" i="156"/>
  <c r="D43" i="156"/>
  <c r="C43" i="156"/>
  <c r="D42" i="156"/>
  <c r="C42" i="156"/>
  <c r="D41" i="156"/>
  <c r="C41" i="156"/>
  <c r="D40" i="156"/>
  <c r="C40" i="156"/>
  <c r="D39" i="156"/>
  <c r="C39" i="156"/>
  <c r="D38" i="156"/>
  <c r="C38" i="156"/>
  <c r="D37" i="156"/>
  <c r="C37" i="156"/>
  <c r="D36" i="156"/>
  <c r="C36" i="156"/>
  <c r="D35" i="156"/>
  <c r="C35" i="156"/>
  <c r="D34" i="156"/>
  <c r="C34" i="156"/>
  <c r="D33" i="156"/>
  <c r="C33" i="156"/>
  <c r="D32" i="156"/>
  <c r="C32" i="156"/>
  <c r="D31" i="156"/>
  <c r="C31" i="156"/>
  <c r="D30" i="156"/>
  <c r="C30" i="156"/>
  <c r="D29" i="156"/>
  <c r="C29" i="156"/>
  <c r="D28" i="156"/>
  <c r="C28" i="156"/>
  <c r="D27" i="156"/>
  <c r="C27" i="156"/>
  <c r="D26" i="156"/>
  <c r="C26" i="156"/>
  <c r="D25" i="156"/>
  <c r="C25" i="156"/>
  <c r="D24" i="156"/>
  <c r="C24" i="156"/>
  <c r="D23" i="156"/>
  <c r="C23" i="156"/>
  <c r="D22" i="156"/>
  <c r="C22" i="156"/>
  <c r="D21" i="156"/>
  <c r="C21" i="156"/>
  <c r="D20" i="156"/>
  <c r="C20" i="156"/>
  <c r="D19" i="156"/>
  <c r="C19" i="156"/>
  <c r="D18" i="156"/>
  <c r="C18" i="156"/>
  <c r="D17" i="156"/>
  <c r="C17" i="156"/>
  <c r="D16" i="156"/>
  <c r="C16" i="156"/>
  <c r="D15" i="156"/>
  <c r="C15" i="156"/>
  <c r="D14" i="156"/>
  <c r="C14" i="156"/>
  <c r="D13" i="156"/>
  <c r="C13" i="156"/>
  <c r="D12" i="156"/>
  <c r="C12" i="156"/>
  <c r="D11" i="156"/>
  <c r="C11" i="156"/>
  <c r="D10" i="156"/>
  <c r="C10" i="156"/>
  <c r="D9" i="156"/>
  <c r="C9" i="156"/>
  <c r="D8" i="156"/>
  <c r="C8" i="156"/>
  <c r="D7" i="156"/>
  <c r="C7" i="156"/>
  <c r="D6" i="156"/>
  <c r="C6" i="156"/>
  <c r="D5" i="156"/>
  <c r="C5" i="156"/>
  <c r="B2" i="156"/>
  <c r="A2" i="156"/>
  <c r="A62" i="155"/>
  <c r="D60" i="155"/>
  <c r="C60" i="155"/>
  <c r="D59" i="155"/>
  <c r="C59" i="155"/>
  <c r="D58" i="155"/>
  <c r="C58" i="155"/>
  <c r="D57" i="155"/>
  <c r="C57" i="155"/>
  <c r="D56" i="155"/>
  <c r="C56" i="155"/>
  <c r="D55" i="155"/>
  <c r="C55" i="155"/>
  <c r="D54" i="155"/>
  <c r="C54" i="155"/>
  <c r="D53" i="155"/>
  <c r="C53" i="155"/>
  <c r="D52" i="155"/>
  <c r="C52" i="155"/>
  <c r="D51" i="155"/>
  <c r="C51" i="155"/>
  <c r="D50" i="155"/>
  <c r="C50" i="155"/>
  <c r="D49" i="155"/>
  <c r="C49" i="155"/>
  <c r="D48" i="155"/>
  <c r="C48" i="155"/>
  <c r="D47" i="155"/>
  <c r="C47" i="155"/>
  <c r="D46" i="155"/>
  <c r="C46" i="155"/>
  <c r="D45" i="155"/>
  <c r="C45" i="155"/>
  <c r="D44" i="155"/>
  <c r="C44" i="155"/>
  <c r="D43" i="155"/>
  <c r="C43" i="155"/>
  <c r="D42" i="155"/>
  <c r="C42" i="155"/>
  <c r="D41" i="155"/>
  <c r="C41" i="155"/>
  <c r="D40" i="155"/>
  <c r="C40" i="155"/>
  <c r="D39" i="155"/>
  <c r="C39" i="155"/>
  <c r="D38" i="155"/>
  <c r="C38" i="155"/>
  <c r="D37" i="155"/>
  <c r="C37" i="155"/>
  <c r="D36" i="155"/>
  <c r="C36" i="155"/>
  <c r="D35" i="155"/>
  <c r="C35" i="155"/>
  <c r="D34" i="155"/>
  <c r="C34" i="155"/>
  <c r="D33" i="155"/>
  <c r="C33" i="155"/>
  <c r="D32" i="155"/>
  <c r="C32" i="155"/>
  <c r="D31" i="155"/>
  <c r="C31" i="155"/>
  <c r="D30" i="155"/>
  <c r="C30" i="155"/>
  <c r="D29" i="155"/>
  <c r="C29" i="155"/>
  <c r="D28" i="155"/>
  <c r="C28" i="155"/>
  <c r="D27" i="155"/>
  <c r="C27" i="155"/>
  <c r="D26" i="155"/>
  <c r="C26" i="155"/>
  <c r="D25" i="155"/>
  <c r="C25" i="155"/>
  <c r="D24" i="155"/>
  <c r="C24" i="155"/>
  <c r="D23" i="155"/>
  <c r="C23" i="155"/>
  <c r="D22" i="155"/>
  <c r="C22" i="155"/>
  <c r="D21" i="155"/>
  <c r="C21" i="155"/>
  <c r="D20" i="155"/>
  <c r="C20" i="155"/>
  <c r="D19" i="155"/>
  <c r="C19" i="155"/>
  <c r="D18" i="155"/>
  <c r="C18" i="155"/>
  <c r="D17" i="155"/>
  <c r="C17" i="155"/>
  <c r="D16" i="155"/>
  <c r="C16" i="155"/>
  <c r="D15" i="155"/>
  <c r="C15" i="155"/>
  <c r="D14" i="155"/>
  <c r="C14" i="155"/>
  <c r="D13" i="155"/>
  <c r="C13" i="155"/>
  <c r="D12" i="155"/>
  <c r="C12" i="155"/>
  <c r="D11" i="155"/>
  <c r="C11" i="155"/>
  <c r="D10" i="155"/>
  <c r="C10" i="155"/>
  <c r="D9" i="155"/>
  <c r="C9" i="155"/>
  <c r="D8" i="155"/>
  <c r="C8" i="155"/>
  <c r="D7" i="155"/>
  <c r="C7" i="155"/>
  <c r="D6" i="155"/>
  <c r="C6" i="155"/>
  <c r="D5" i="155"/>
  <c r="C5" i="155"/>
  <c r="B2" i="155"/>
  <c r="A2" i="155"/>
  <c r="A62" i="154"/>
  <c r="D60" i="154"/>
  <c r="C60" i="154"/>
  <c r="D59" i="154"/>
  <c r="C59" i="154"/>
  <c r="D58" i="154"/>
  <c r="C58" i="154"/>
  <c r="D57" i="154"/>
  <c r="C57" i="154"/>
  <c r="D56" i="154"/>
  <c r="C56" i="154"/>
  <c r="D55" i="154"/>
  <c r="C55" i="154"/>
  <c r="D54" i="154"/>
  <c r="C54" i="154"/>
  <c r="D53" i="154"/>
  <c r="C53" i="154"/>
  <c r="D52" i="154"/>
  <c r="C52" i="154"/>
  <c r="D51" i="154"/>
  <c r="C51" i="154"/>
  <c r="D50" i="154"/>
  <c r="C50" i="154"/>
  <c r="D49" i="154"/>
  <c r="C49" i="154"/>
  <c r="D48" i="154"/>
  <c r="C48" i="154"/>
  <c r="D47" i="154"/>
  <c r="C47" i="154"/>
  <c r="D46" i="154"/>
  <c r="C46" i="154"/>
  <c r="D45" i="154"/>
  <c r="C45" i="154"/>
  <c r="D44" i="154"/>
  <c r="C44" i="154"/>
  <c r="D43" i="154"/>
  <c r="C43" i="154"/>
  <c r="D42" i="154"/>
  <c r="C42" i="154"/>
  <c r="D41" i="154"/>
  <c r="C41" i="154"/>
  <c r="D40" i="154"/>
  <c r="C40" i="154"/>
  <c r="D39" i="154"/>
  <c r="C39" i="154"/>
  <c r="D38" i="154"/>
  <c r="C38" i="154"/>
  <c r="D37" i="154"/>
  <c r="C37" i="154"/>
  <c r="D36" i="154"/>
  <c r="C36" i="154"/>
  <c r="D35" i="154"/>
  <c r="C35" i="154"/>
  <c r="D34" i="154"/>
  <c r="C34" i="154"/>
  <c r="D33" i="154"/>
  <c r="C33" i="154"/>
  <c r="D32" i="154"/>
  <c r="C32" i="154"/>
  <c r="D31" i="154"/>
  <c r="C31" i="154"/>
  <c r="D30" i="154"/>
  <c r="C30" i="154"/>
  <c r="D29" i="154"/>
  <c r="C29" i="154"/>
  <c r="D28" i="154"/>
  <c r="C28" i="154"/>
  <c r="D27" i="154"/>
  <c r="C27" i="154"/>
  <c r="D26" i="154"/>
  <c r="C26" i="154"/>
  <c r="D25" i="154"/>
  <c r="C25" i="154"/>
  <c r="D24" i="154"/>
  <c r="C24" i="154"/>
  <c r="D23" i="154"/>
  <c r="C23" i="154"/>
  <c r="D22" i="154"/>
  <c r="C22" i="154"/>
  <c r="D21" i="154"/>
  <c r="C21" i="154"/>
  <c r="D20" i="154"/>
  <c r="C20" i="154"/>
  <c r="D19" i="154"/>
  <c r="C19" i="154"/>
  <c r="D18" i="154"/>
  <c r="C18" i="154"/>
  <c r="D17" i="154"/>
  <c r="C17" i="154"/>
  <c r="D16" i="154"/>
  <c r="C16" i="154"/>
  <c r="D15" i="154"/>
  <c r="C15" i="154"/>
  <c r="D14" i="154"/>
  <c r="C14" i="154"/>
  <c r="D13" i="154"/>
  <c r="C13" i="154"/>
  <c r="D12" i="154"/>
  <c r="C12" i="154"/>
  <c r="D11" i="154"/>
  <c r="C11" i="154"/>
  <c r="D10" i="154"/>
  <c r="C10" i="154"/>
  <c r="D9" i="154"/>
  <c r="C9" i="154"/>
  <c r="D8" i="154"/>
  <c r="C8" i="154"/>
  <c r="D7" i="154"/>
  <c r="C7" i="154"/>
  <c r="D6" i="154"/>
  <c r="C6" i="154"/>
  <c r="D5" i="154"/>
  <c r="C5" i="154"/>
  <c r="B2" i="154"/>
  <c r="A2" i="154"/>
  <c r="A62" i="153"/>
  <c r="D60" i="153"/>
  <c r="C60" i="153"/>
  <c r="D59" i="153"/>
  <c r="C59" i="153"/>
  <c r="D58" i="153"/>
  <c r="C58" i="153"/>
  <c r="D57" i="153"/>
  <c r="C57" i="153"/>
  <c r="D56" i="153"/>
  <c r="C56" i="153"/>
  <c r="D55" i="153"/>
  <c r="C55" i="153"/>
  <c r="D54" i="153"/>
  <c r="C54" i="153"/>
  <c r="D53" i="153"/>
  <c r="C53" i="153"/>
  <c r="D52" i="153"/>
  <c r="C52" i="153"/>
  <c r="D51" i="153"/>
  <c r="C51" i="153"/>
  <c r="D50" i="153"/>
  <c r="C50" i="153"/>
  <c r="D49" i="153"/>
  <c r="C49" i="153"/>
  <c r="D48" i="153"/>
  <c r="C48" i="153"/>
  <c r="D47" i="153"/>
  <c r="C47" i="153"/>
  <c r="D46" i="153"/>
  <c r="C46" i="153"/>
  <c r="D45" i="153"/>
  <c r="C45" i="153"/>
  <c r="D44" i="153"/>
  <c r="C44" i="153"/>
  <c r="D43" i="153"/>
  <c r="C43" i="153"/>
  <c r="D42" i="153"/>
  <c r="C42" i="153"/>
  <c r="D41" i="153"/>
  <c r="C41" i="153"/>
  <c r="D40" i="153"/>
  <c r="C40" i="153"/>
  <c r="D39" i="153"/>
  <c r="C39" i="153"/>
  <c r="D38" i="153"/>
  <c r="C38" i="153"/>
  <c r="D37" i="153"/>
  <c r="C37" i="153"/>
  <c r="D36" i="153"/>
  <c r="C36" i="153"/>
  <c r="D35" i="153"/>
  <c r="C35" i="153"/>
  <c r="D34" i="153"/>
  <c r="C34" i="153"/>
  <c r="D33" i="153"/>
  <c r="C33" i="153"/>
  <c r="D32" i="153"/>
  <c r="C32" i="153"/>
  <c r="D31" i="153"/>
  <c r="C31" i="153"/>
  <c r="D30" i="153"/>
  <c r="C30" i="153"/>
  <c r="D29" i="153"/>
  <c r="C29" i="153"/>
  <c r="D28" i="153"/>
  <c r="C28" i="153"/>
  <c r="D27" i="153"/>
  <c r="C27" i="153"/>
  <c r="D26" i="153"/>
  <c r="C26" i="153"/>
  <c r="D25" i="153"/>
  <c r="C25" i="153"/>
  <c r="D24" i="153"/>
  <c r="C24" i="153"/>
  <c r="D23" i="153"/>
  <c r="C23" i="153"/>
  <c r="D22" i="153"/>
  <c r="C22" i="153"/>
  <c r="D21" i="153"/>
  <c r="C21" i="153"/>
  <c r="D20" i="153"/>
  <c r="C20" i="153"/>
  <c r="D19" i="153"/>
  <c r="C19" i="153"/>
  <c r="D18" i="153"/>
  <c r="C18" i="153"/>
  <c r="D17" i="153"/>
  <c r="C17" i="153"/>
  <c r="D16" i="153"/>
  <c r="C16" i="153"/>
  <c r="D15" i="153"/>
  <c r="C15" i="153"/>
  <c r="D14" i="153"/>
  <c r="C14" i="153"/>
  <c r="D13" i="153"/>
  <c r="C13" i="153"/>
  <c r="D12" i="153"/>
  <c r="C12" i="153"/>
  <c r="D11" i="153"/>
  <c r="C11" i="153"/>
  <c r="D10" i="153"/>
  <c r="C10" i="153"/>
  <c r="D9" i="153"/>
  <c r="C9" i="153"/>
  <c r="D8" i="153"/>
  <c r="C8" i="153"/>
  <c r="D7" i="153"/>
  <c r="C7" i="153"/>
  <c r="D6" i="153"/>
  <c r="C6" i="153"/>
  <c r="D5" i="153"/>
  <c r="C5" i="153"/>
  <c r="B2" i="153"/>
  <c r="A2" i="153"/>
  <c r="A62" i="152"/>
  <c r="D60" i="152"/>
  <c r="C60" i="152"/>
  <c r="D59" i="152"/>
  <c r="C59" i="152"/>
  <c r="D58" i="152"/>
  <c r="C58" i="152"/>
  <c r="D57" i="152"/>
  <c r="C57" i="152"/>
  <c r="D56" i="152"/>
  <c r="C56" i="152"/>
  <c r="D55" i="152"/>
  <c r="C55" i="152"/>
  <c r="D54" i="152"/>
  <c r="C54" i="152"/>
  <c r="D53" i="152"/>
  <c r="C53" i="152"/>
  <c r="D52" i="152"/>
  <c r="C52" i="152"/>
  <c r="D51" i="152"/>
  <c r="C51" i="152"/>
  <c r="D50" i="152"/>
  <c r="C50" i="152"/>
  <c r="D49" i="152"/>
  <c r="C49" i="152"/>
  <c r="D48" i="152"/>
  <c r="C48" i="152"/>
  <c r="D47" i="152"/>
  <c r="C47" i="152"/>
  <c r="D46" i="152"/>
  <c r="C46" i="152"/>
  <c r="D45" i="152"/>
  <c r="C45" i="152"/>
  <c r="D44" i="152"/>
  <c r="C44" i="152"/>
  <c r="D43" i="152"/>
  <c r="C43" i="152"/>
  <c r="D42" i="152"/>
  <c r="C42" i="152"/>
  <c r="D41" i="152"/>
  <c r="C41" i="152"/>
  <c r="D40" i="152"/>
  <c r="C40" i="152"/>
  <c r="D39" i="152"/>
  <c r="C39" i="152"/>
  <c r="D38" i="152"/>
  <c r="C38" i="152"/>
  <c r="D37" i="152"/>
  <c r="C37" i="152"/>
  <c r="D36" i="152"/>
  <c r="C36" i="152"/>
  <c r="D35" i="152"/>
  <c r="C35" i="152"/>
  <c r="D34" i="152"/>
  <c r="C34" i="152"/>
  <c r="D33" i="152"/>
  <c r="C33" i="152"/>
  <c r="D32" i="152"/>
  <c r="C32" i="152"/>
  <c r="D31" i="152"/>
  <c r="C31" i="152"/>
  <c r="D30" i="152"/>
  <c r="C30" i="152"/>
  <c r="D29" i="152"/>
  <c r="C29" i="152"/>
  <c r="D28" i="152"/>
  <c r="C28" i="152"/>
  <c r="D27" i="152"/>
  <c r="C27" i="152"/>
  <c r="D26" i="152"/>
  <c r="C26" i="152"/>
  <c r="D25" i="152"/>
  <c r="C25" i="152"/>
  <c r="D24" i="152"/>
  <c r="C24" i="152"/>
  <c r="D23" i="152"/>
  <c r="C23" i="152"/>
  <c r="D22" i="152"/>
  <c r="C22" i="152"/>
  <c r="D21" i="152"/>
  <c r="C21" i="152"/>
  <c r="D20" i="152"/>
  <c r="C20" i="152"/>
  <c r="D19" i="152"/>
  <c r="C19" i="152"/>
  <c r="D18" i="152"/>
  <c r="C18" i="152"/>
  <c r="D17" i="152"/>
  <c r="C17" i="152"/>
  <c r="D16" i="152"/>
  <c r="C16" i="152"/>
  <c r="D15" i="152"/>
  <c r="C15" i="152"/>
  <c r="D14" i="152"/>
  <c r="C14" i="152"/>
  <c r="D13" i="152"/>
  <c r="C13" i="152"/>
  <c r="D12" i="152"/>
  <c r="C12" i="152"/>
  <c r="D11" i="152"/>
  <c r="C11" i="152"/>
  <c r="D10" i="152"/>
  <c r="C10" i="152"/>
  <c r="D9" i="152"/>
  <c r="C9" i="152"/>
  <c r="D8" i="152"/>
  <c r="C8" i="152"/>
  <c r="D7" i="152"/>
  <c r="C7" i="152"/>
  <c r="D6" i="152"/>
  <c r="C6" i="152"/>
  <c r="D5" i="152"/>
  <c r="C5" i="152"/>
  <c r="B2" i="152"/>
  <c r="A2" i="152"/>
  <c r="A62" i="151"/>
  <c r="D60" i="151"/>
  <c r="C60" i="151"/>
  <c r="D59" i="151"/>
  <c r="C59" i="151"/>
  <c r="D58" i="151"/>
  <c r="C58" i="151"/>
  <c r="D57" i="151"/>
  <c r="C57" i="151"/>
  <c r="D56" i="151"/>
  <c r="C56" i="151"/>
  <c r="D55" i="151"/>
  <c r="C55" i="151"/>
  <c r="D54" i="151"/>
  <c r="C54" i="151"/>
  <c r="D53" i="151"/>
  <c r="C53" i="151"/>
  <c r="D52" i="151"/>
  <c r="C52" i="151"/>
  <c r="D51" i="151"/>
  <c r="C51" i="151"/>
  <c r="D50" i="151"/>
  <c r="C50" i="151"/>
  <c r="D49" i="151"/>
  <c r="C49" i="151"/>
  <c r="D48" i="151"/>
  <c r="C48" i="151"/>
  <c r="D47" i="151"/>
  <c r="C47" i="151"/>
  <c r="D46" i="151"/>
  <c r="C46" i="151"/>
  <c r="D45" i="151"/>
  <c r="C45" i="151"/>
  <c r="D44" i="151"/>
  <c r="C44" i="151"/>
  <c r="D43" i="151"/>
  <c r="C43" i="151"/>
  <c r="D42" i="151"/>
  <c r="C42" i="151"/>
  <c r="D41" i="151"/>
  <c r="C41" i="151"/>
  <c r="D40" i="151"/>
  <c r="C40" i="151"/>
  <c r="D39" i="151"/>
  <c r="C39" i="151"/>
  <c r="D38" i="151"/>
  <c r="C38" i="151"/>
  <c r="D37" i="151"/>
  <c r="C37" i="151"/>
  <c r="D36" i="151"/>
  <c r="C36" i="151"/>
  <c r="D35" i="151"/>
  <c r="C35" i="151"/>
  <c r="D34" i="151"/>
  <c r="C34" i="151"/>
  <c r="D33" i="151"/>
  <c r="C33" i="151"/>
  <c r="D32" i="151"/>
  <c r="C32" i="151"/>
  <c r="D31" i="151"/>
  <c r="C31" i="151"/>
  <c r="D30" i="151"/>
  <c r="C30" i="151"/>
  <c r="D29" i="151"/>
  <c r="C29" i="151"/>
  <c r="D28" i="151"/>
  <c r="C28" i="151"/>
  <c r="D27" i="151"/>
  <c r="C27" i="151"/>
  <c r="D26" i="151"/>
  <c r="C26" i="151"/>
  <c r="D25" i="151"/>
  <c r="C25" i="151"/>
  <c r="D24" i="151"/>
  <c r="C24" i="151"/>
  <c r="D23" i="151"/>
  <c r="C23" i="151"/>
  <c r="D22" i="151"/>
  <c r="C22" i="151"/>
  <c r="D21" i="151"/>
  <c r="C21" i="151"/>
  <c r="D20" i="151"/>
  <c r="C20" i="151"/>
  <c r="D19" i="151"/>
  <c r="C19" i="151"/>
  <c r="D18" i="151"/>
  <c r="C18" i="151"/>
  <c r="D17" i="151"/>
  <c r="C17" i="151"/>
  <c r="D16" i="151"/>
  <c r="C16" i="151"/>
  <c r="D15" i="151"/>
  <c r="C15" i="151"/>
  <c r="D14" i="151"/>
  <c r="C14" i="151"/>
  <c r="D13" i="151"/>
  <c r="C13" i="151"/>
  <c r="D12" i="151"/>
  <c r="C12" i="151"/>
  <c r="D11" i="151"/>
  <c r="C11" i="151"/>
  <c r="D10" i="151"/>
  <c r="C10" i="151"/>
  <c r="D9" i="151"/>
  <c r="C9" i="151"/>
  <c r="D8" i="151"/>
  <c r="C8" i="151"/>
  <c r="D7" i="151"/>
  <c r="C7" i="151"/>
  <c r="D6" i="151"/>
  <c r="C6" i="151"/>
  <c r="D5" i="151"/>
  <c r="C5" i="151"/>
  <c r="B2" i="151"/>
  <c r="A2" i="151"/>
  <c r="A62" i="150"/>
  <c r="D60" i="150"/>
  <c r="C60" i="150"/>
  <c r="D59" i="150"/>
  <c r="C59" i="150"/>
  <c r="D58" i="150"/>
  <c r="C58" i="150"/>
  <c r="D57" i="150"/>
  <c r="C57" i="150"/>
  <c r="D56" i="150"/>
  <c r="C56" i="150"/>
  <c r="D55" i="150"/>
  <c r="C55" i="150"/>
  <c r="D54" i="150"/>
  <c r="C54" i="150"/>
  <c r="D53" i="150"/>
  <c r="C53" i="150"/>
  <c r="D52" i="150"/>
  <c r="C52" i="150"/>
  <c r="D51" i="150"/>
  <c r="C51" i="150"/>
  <c r="D50" i="150"/>
  <c r="C50" i="150"/>
  <c r="D49" i="150"/>
  <c r="C49" i="150"/>
  <c r="D48" i="150"/>
  <c r="C48" i="150"/>
  <c r="D47" i="150"/>
  <c r="C47" i="150"/>
  <c r="D46" i="150"/>
  <c r="C46" i="150"/>
  <c r="D45" i="150"/>
  <c r="C45" i="150"/>
  <c r="D44" i="150"/>
  <c r="C44" i="150"/>
  <c r="D43" i="150"/>
  <c r="C43" i="150"/>
  <c r="D42" i="150"/>
  <c r="C42" i="150"/>
  <c r="D41" i="150"/>
  <c r="C41" i="150"/>
  <c r="D40" i="150"/>
  <c r="C40" i="150"/>
  <c r="D39" i="150"/>
  <c r="C39" i="150"/>
  <c r="D38" i="150"/>
  <c r="C38" i="150"/>
  <c r="D37" i="150"/>
  <c r="C37" i="150"/>
  <c r="D36" i="150"/>
  <c r="C36" i="150"/>
  <c r="D35" i="150"/>
  <c r="C35" i="150"/>
  <c r="D34" i="150"/>
  <c r="C34" i="150"/>
  <c r="D33" i="150"/>
  <c r="C33" i="150"/>
  <c r="D32" i="150"/>
  <c r="C32" i="150"/>
  <c r="D31" i="150"/>
  <c r="C31" i="150"/>
  <c r="D30" i="150"/>
  <c r="C30" i="150"/>
  <c r="D29" i="150"/>
  <c r="C29" i="150"/>
  <c r="D28" i="150"/>
  <c r="C28" i="150"/>
  <c r="D27" i="150"/>
  <c r="C27" i="150"/>
  <c r="D26" i="150"/>
  <c r="C26" i="150"/>
  <c r="D25" i="150"/>
  <c r="C25" i="150"/>
  <c r="D24" i="150"/>
  <c r="C24" i="150"/>
  <c r="D23" i="150"/>
  <c r="C23" i="150"/>
  <c r="D22" i="150"/>
  <c r="C22" i="150"/>
  <c r="D21" i="150"/>
  <c r="C21" i="150"/>
  <c r="D20" i="150"/>
  <c r="C20" i="150"/>
  <c r="D19" i="150"/>
  <c r="C19" i="150"/>
  <c r="D18" i="150"/>
  <c r="C18" i="150"/>
  <c r="D17" i="150"/>
  <c r="C17" i="150"/>
  <c r="D16" i="150"/>
  <c r="C16" i="150"/>
  <c r="D15" i="150"/>
  <c r="C15" i="150"/>
  <c r="D14" i="150"/>
  <c r="C14" i="150"/>
  <c r="D13" i="150"/>
  <c r="C13" i="150"/>
  <c r="D12" i="150"/>
  <c r="C12" i="150"/>
  <c r="D11" i="150"/>
  <c r="C11" i="150"/>
  <c r="D10" i="150"/>
  <c r="C10" i="150"/>
  <c r="D9" i="150"/>
  <c r="C9" i="150"/>
  <c r="D8" i="150"/>
  <c r="C8" i="150"/>
  <c r="D7" i="150"/>
  <c r="C7" i="150"/>
  <c r="D6" i="150"/>
  <c r="C6" i="150"/>
  <c r="D5" i="150"/>
  <c r="C5" i="150"/>
  <c r="B2" i="150"/>
  <c r="A2" i="150"/>
  <c r="A62" i="149"/>
  <c r="D60" i="149"/>
  <c r="C60" i="149"/>
  <c r="D59" i="149"/>
  <c r="C59" i="149"/>
  <c r="D58" i="149"/>
  <c r="C58" i="149"/>
  <c r="D57" i="149"/>
  <c r="C57" i="149"/>
  <c r="D56" i="149"/>
  <c r="C56" i="149"/>
  <c r="D55" i="149"/>
  <c r="C55" i="149"/>
  <c r="D54" i="149"/>
  <c r="C54" i="149"/>
  <c r="D53" i="149"/>
  <c r="C53" i="149"/>
  <c r="D52" i="149"/>
  <c r="C52" i="149"/>
  <c r="D51" i="149"/>
  <c r="C51" i="149"/>
  <c r="D50" i="149"/>
  <c r="C50" i="149"/>
  <c r="D49" i="149"/>
  <c r="C49" i="149"/>
  <c r="D48" i="149"/>
  <c r="C48" i="149"/>
  <c r="D47" i="149"/>
  <c r="C47" i="149"/>
  <c r="D46" i="149"/>
  <c r="C46" i="149"/>
  <c r="D45" i="149"/>
  <c r="C45" i="149"/>
  <c r="D44" i="149"/>
  <c r="C44" i="149"/>
  <c r="D43" i="149"/>
  <c r="C43" i="149"/>
  <c r="D42" i="149"/>
  <c r="C42" i="149"/>
  <c r="D41" i="149"/>
  <c r="C41" i="149"/>
  <c r="D40" i="149"/>
  <c r="C40" i="149"/>
  <c r="D39" i="149"/>
  <c r="C39" i="149"/>
  <c r="D38" i="149"/>
  <c r="C38" i="149"/>
  <c r="D37" i="149"/>
  <c r="C37" i="149"/>
  <c r="D36" i="149"/>
  <c r="C36" i="149"/>
  <c r="D35" i="149"/>
  <c r="C35" i="149"/>
  <c r="D34" i="149"/>
  <c r="C34" i="149"/>
  <c r="D33" i="149"/>
  <c r="C33" i="149"/>
  <c r="D32" i="149"/>
  <c r="C32" i="149"/>
  <c r="D31" i="149"/>
  <c r="C31" i="149"/>
  <c r="D30" i="149"/>
  <c r="C30" i="149"/>
  <c r="D29" i="149"/>
  <c r="C29" i="149"/>
  <c r="D28" i="149"/>
  <c r="C28" i="149"/>
  <c r="D27" i="149"/>
  <c r="C27" i="149"/>
  <c r="D26" i="149"/>
  <c r="C26" i="149"/>
  <c r="D25" i="149"/>
  <c r="C25" i="149"/>
  <c r="D24" i="149"/>
  <c r="C24" i="149"/>
  <c r="D23" i="149"/>
  <c r="C23" i="149"/>
  <c r="D22" i="149"/>
  <c r="C22" i="149"/>
  <c r="D21" i="149"/>
  <c r="C21" i="149"/>
  <c r="D20" i="149"/>
  <c r="C20" i="149"/>
  <c r="D19" i="149"/>
  <c r="C19" i="149"/>
  <c r="D18" i="149"/>
  <c r="C18" i="149"/>
  <c r="D17" i="149"/>
  <c r="C17" i="149"/>
  <c r="D16" i="149"/>
  <c r="C16" i="149"/>
  <c r="D15" i="149"/>
  <c r="C15" i="149"/>
  <c r="D14" i="149"/>
  <c r="C14" i="149"/>
  <c r="D13" i="149"/>
  <c r="C13" i="149"/>
  <c r="D12" i="149"/>
  <c r="C12" i="149"/>
  <c r="D11" i="149"/>
  <c r="C11" i="149"/>
  <c r="D10" i="149"/>
  <c r="C10" i="149"/>
  <c r="D9" i="149"/>
  <c r="C9" i="149"/>
  <c r="D8" i="149"/>
  <c r="C8" i="149"/>
  <c r="D7" i="149"/>
  <c r="C7" i="149"/>
  <c r="D6" i="149"/>
  <c r="C6" i="149"/>
  <c r="D5" i="149"/>
  <c r="C5" i="149"/>
  <c r="B2" i="149"/>
  <c r="A2" i="149"/>
  <c r="A62" i="148"/>
  <c r="D60" i="148"/>
  <c r="C60" i="148"/>
  <c r="D59" i="148"/>
  <c r="C59" i="148"/>
  <c r="D58" i="148"/>
  <c r="C58" i="148"/>
  <c r="D57" i="148"/>
  <c r="C57" i="148"/>
  <c r="D56" i="148"/>
  <c r="C56" i="148"/>
  <c r="D55" i="148"/>
  <c r="C55" i="148"/>
  <c r="D54" i="148"/>
  <c r="C54" i="148"/>
  <c r="D53" i="148"/>
  <c r="C53" i="148"/>
  <c r="D52" i="148"/>
  <c r="C52" i="148"/>
  <c r="D51" i="148"/>
  <c r="C51" i="148"/>
  <c r="D50" i="148"/>
  <c r="C50" i="148"/>
  <c r="D49" i="148"/>
  <c r="C49" i="148"/>
  <c r="D48" i="148"/>
  <c r="C48" i="148"/>
  <c r="D47" i="148"/>
  <c r="C47" i="148"/>
  <c r="D46" i="148"/>
  <c r="C46" i="148"/>
  <c r="D45" i="148"/>
  <c r="C45" i="148"/>
  <c r="D44" i="148"/>
  <c r="C44" i="148"/>
  <c r="D43" i="148"/>
  <c r="C43" i="148"/>
  <c r="D42" i="148"/>
  <c r="C42" i="148"/>
  <c r="D41" i="148"/>
  <c r="C41" i="148"/>
  <c r="D40" i="148"/>
  <c r="C40" i="148"/>
  <c r="D39" i="148"/>
  <c r="C39" i="148"/>
  <c r="D38" i="148"/>
  <c r="C38" i="148"/>
  <c r="D37" i="148"/>
  <c r="C37" i="148"/>
  <c r="D36" i="148"/>
  <c r="C36" i="148"/>
  <c r="D35" i="148"/>
  <c r="C35" i="148"/>
  <c r="D34" i="148"/>
  <c r="C34" i="148"/>
  <c r="D33" i="148"/>
  <c r="C33" i="148"/>
  <c r="D32" i="148"/>
  <c r="C32" i="148"/>
  <c r="D31" i="148"/>
  <c r="C31" i="148"/>
  <c r="D30" i="148"/>
  <c r="C30" i="148"/>
  <c r="D29" i="148"/>
  <c r="C29" i="148"/>
  <c r="D28" i="148"/>
  <c r="C28" i="148"/>
  <c r="D27" i="148"/>
  <c r="C27" i="148"/>
  <c r="D26" i="148"/>
  <c r="C26" i="148"/>
  <c r="D25" i="148"/>
  <c r="C25" i="148"/>
  <c r="D24" i="148"/>
  <c r="C24" i="148"/>
  <c r="D23" i="148"/>
  <c r="C23" i="148"/>
  <c r="D22" i="148"/>
  <c r="C22" i="148"/>
  <c r="D21" i="148"/>
  <c r="C21" i="148"/>
  <c r="D20" i="148"/>
  <c r="C20" i="148"/>
  <c r="D19" i="148"/>
  <c r="C19" i="148"/>
  <c r="D18" i="148"/>
  <c r="C18" i="148"/>
  <c r="D17" i="148"/>
  <c r="C17" i="148"/>
  <c r="D16" i="148"/>
  <c r="C16" i="148"/>
  <c r="D15" i="148"/>
  <c r="C15" i="148"/>
  <c r="D14" i="148"/>
  <c r="C14" i="148"/>
  <c r="D13" i="148"/>
  <c r="C13" i="148"/>
  <c r="D12" i="148"/>
  <c r="C12" i="148"/>
  <c r="D11" i="148"/>
  <c r="C11" i="148"/>
  <c r="D10" i="148"/>
  <c r="C10" i="148"/>
  <c r="D9" i="148"/>
  <c r="C9" i="148"/>
  <c r="D8" i="148"/>
  <c r="C8" i="148"/>
  <c r="D7" i="148"/>
  <c r="C7" i="148"/>
  <c r="D6" i="148"/>
  <c r="C6" i="148"/>
  <c r="D5" i="148"/>
  <c r="C5" i="148"/>
  <c r="B2" i="148"/>
  <c r="A2" i="148"/>
  <c r="A62" i="147"/>
  <c r="D60" i="147"/>
  <c r="C60" i="147"/>
  <c r="D59" i="147"/>
  <c r="C59" i="147"/>
  <c r="D58" i="147"/>
  <c r="C58" i="147"/>
  <c r="D57" i="147"/>
  <c r="C57" i="147"/>
  <c r="D56" i="147"/>
  <c r="C56" i="147"/>
  <c r="D55" i="147"/>
  <c r="C55" i="147"/>
  <c r="D54" i="147"/>
  <c r="C54" i="147"/>
  <c r="D53" i="147"/>
  <c r="C53" i="147"/>
  <c r="D52" i="147"/>
  <c r="C52" i="147"/>
  <c r="D51" i="147"/>
  <c r="C51" i="147"/>
  <c r="D50" i="147"/>
  <c r="C50" i="147"/>
  <c r="D49" i="147"/>
  <c r="C49" i="147"/>
  <c r="D48" i="147"/>
  <c r="C48" i="147"/>
  <c r="D47" i="147"/>
  <c r="C47" i="147"/>
  <c r="D46" i="147"/>
  <c r="C46" i="147"/>
  <c r="D45" i="147"/>
  <c r="C45" i="147"/>
  <c r="D44" i="147"/>
  <c r="C44" i="147"/>
  <c r="D43" i="147"/>
  <c r="C43" i="147"/>
  <c r="D42" i="147"/>
  <c r="C42" i="147"/>
  <c r="D41" i="147"/>
  <c r="C41" i="147"/>
  <c r="D40" i="147"/>
  <c r="C40" i="147"/>
  <c r="D39" i="147"/>
  <c r="C39" i="147"/>
  <c r="D38" i="147"/>
  <c r="C38" i="147"/>
  <c r="D37" i="147"/>
  <c r="C37" i="147"/>
  <c r="D36" i="147"/>
  <c r="C36" i="147"/>
  <c r="D35" i="147"/>
  <c r="C35" i="147"/>
  <c r="D34" i="147"/>
  <c r="C34" i="147"/>
  <c r="D33" i="147"/>
  <c r="C33" i="147"/>
  <c r="D32" i="147"/>
  <c r="C32" i="147"/>
  <c r="D31" i="147"/>
  <c r="C31" i="147"/>
  <c r="D30" i="147"/>
  <c r="C30" i="147"/>
  <c r="D29" i="147"/>
  <c r="C29" i="147"/>
  <c r="D28" i="147"/>
  <c r="C28" i="147"/>
  <c r="D27" i="147"/>
  <c r="C27" i="147"/>
  <c r="D26" i="147"/>
  <c r="C26" i="147"/>
  <c r="D25" i="147"/>
  <c r="C25" i="147"/>
  <c r="D24" i="147"/>
  <c r="C24" i="147"/>
  <c r="D23" i="147"/>
  <c r="C23" i="147"/>
  <c r="D22" i="147"/>
  <c r="C22" i="147"/>
  <c r="D21" i="147"/>
  <c r="C21" i="147"/>
  <c r="D20" i="147"/>
  <c r="C20" i="147"/>
  <c r="D19" i="147"/>
  <c r="C19" i="147"/>
  <c r="D18" i="147"/>
  <c r="C18" i="147"/>
  <c r="D17" i="147"/>
  <c r="C17" i="147"/>
  <c r="D16" i="147"/>
  <c r="C16" i="147"/>
  <c r="D15" i="147"/>
  <c r="C15" i="147"/>
  <c r="D14" i="147"/>
  <c r="C14" i="147"/>
  <c r="D13" i="147"/>
  <c r="C13" i="147"/>
  <c r="D12" i="147"/>
  <c r="C12" i="147"/>
  <c r="D11" i="147"/>
  <c r="C11" i="147"/>
  <c r="D10" i="147"/>
  <c r="C10" i="147"/>
  <c r="D9" i="147"/>
  <c r="C9" i="147"/>
  <c r="D8" i="147"/>
  <c r="C8" i="147"/>
  <c r="D7" i="147"/>
  <c r="C7" i="147"/>
  <c r="D6" i="147"/>
  <c r="C6" i="147"/>
  <c r="D5" i="147"/>
  <c r="C5" i="147"/>
  <c r="B2" i="147"/>
  <c r="A2" i="147"/>
  <c r="A62" i="146"/>
  <c r="D60" i="146"/>
  <c r="C60" i="146"/>
  <c r="D59" i="146"/>
  <c r="C59" i="146"/>
  <c r="D58" i="146"/>
  <c r="C58" i="146"/>
  <c r="D57" i="146"/>
  <c r="C57" i="146"/>
  <c r="D56" i="146"/>
  <c r="C56" i="146"/>
  <c r="D55" i="146"/>
  <c r="C55" i="146"/>
  <c r="D54" i="146"/>
  <c r="C54" i="146"/>
  <c r="D53" i="146"/>
  <c r="C53" i="146"/>
  <c r="D52" i="146"/>
  <c r="C52" i="146"/>
  <c r="D51" i="146"/>
  <c r="C51" i="146"/>
  <c r="D50" i="146"/>
  <c r="C50" i="146"/>
  <c r="D49" i="146"/>
  <c r="C49" i="146"/>
  <c r="D48" i="146"/>
  <c r="C48" i="146"/>
  <c r="D47" i="146"/>
  <c r="C47" i="146"/>
  <c r="D46" i="146"/>
  <c r="C46" i="146"/>
  <c r="D45" i="146"/>
  <c r="C45" i="146"/>
  <c r="D44" i="146"/>
  <c r="C44" i="146"/>
  <c r="D43" i="146"/>
  <c r="C43" i="146"/>
  <c r="D42" i="146"/>
  <c r="C42" i="146"/>
  <c r="D41" i="146"/>
  <c r="C41" i="146"/>
  <c r="D40" i="146"/>
  <c r="C40" i="146"/>
  <c r="D39" i="146"/>
  <c r="C39" i="146"/>
  <c r="D38" i="146"/>
  <c r="C38" i="146"/>
  <c r="D37" i="146"/>
  <c r="C37" i="146"/>
  <c r="D36" i="146"/>
  <c r="C36" i="146"/>
  <c r="D35" i="146"/>
  <c r="C35" i="146"/>
  <c r="D34" i="146"/>
  <c r="C34" i="146"/>
  <c r="D33" i="146"/>
  <c r="C33" i="146"/>
  <c r="D32" i="146"/>
  <c r="C32" i="146"/>
  <c r="D31" i="146"/>
  <c r="C31" i="146"/>
  <c r="D30" i="146"/>
  <c r="C30" i="146"/>
  <c r="D29" i="146"/>
  <c r="C29" i="146"/>
  <c r="D28" i="146"/>
  <c r="C28" i="146"/>
  <c r="D27" i="146"/>
  <c r="C27" i="146"/>
  <c r="D26" i="146"/>
  <c r="C26" i="146"/>
  <c r="D25" i="146"/>
  <c r="C25" i="146"/>
  <c r="D24" i="146"/>
  <c r="C24" i="146"/>
  <c r="D23" i="146"/>
  <c r="C23" i="146"/>
  <c r="D22" i="146"/>
  <c r="C22" i="146"/>
  <c r="D21" i="146"/>
  <c r="C21" i="146"/>
  <c r="D20" i="146"/>
  <c r="C20" i="146"/>
  <c r="D19" i="146"/>
  <c r="C19" i="146"/>
  <c r="D18" i="146"/>
  <c r="C18" i="146"/>
  <c r="D17" i="146"/>
  <c r="C17" i="146"/>
  <c r="D16" i="146"/>
  <c r="C16" i="146"/>
  <c r="D15" i="146"/>
  <c r="C15" i="146"/>
  <c r="D14" i="146"/>
  <c r="C14" i="146"/>
  <c r="D13" i="146"/>
  <c r="C13" i="146"/>
  <c r="D12" i="146"/>
  <c r="C12" i="146"/>
  <c r="D11" i="146"/>
  <c r="C11" i="146"/>
  <c r="D10" i="146"/>
  <c r="C10" i="146"/>
  <c r="D9" i="146"/>
  <c r="C9" i="146"/>
  <c r="D8" i="146"/>
  <c r="C8" i="146"/>
  <c r="D7" i="146"/>
  <c r="C7" i="146"/>
  <c r="D6" i="146"/>
  <c r="C6" i="146"/>
  <c r="D5" i="146"/>
  <c r="C5" i="146"/>
  <c r="B2" i="146"/>
  <c r="A2" i="146"/>
  <c r="A62" i="145"/>
  <c r="D60" i="145"/>
  <c r="C60" i="145"/>
  <c r="D59" i="145"/>
  <c r="C59" i="145"/>
  <c r="D58" i="145"/>
  <c r="C58" i="145"/>
  <c r="D57" i="145"/>
  <c r="C57" i="145"/>
  <c r="D56" i="145"/>
  <c r="C56" i="145"/>
  <c r="D55" i="145"/>
  <c r="C55" i="145"/>
  <c r="D54" i="145"/>
  <c r="C54" i="145"/>
  <c r="D53" i="145"/>
  <c r="C53" i="145"/>
  <c r="D52" i="145"/>
  <c r="C52" i="145"/>
  <c r="D51" i="145"/>
  <c r="C51" i="145"/>
  <c r="D50" i="145"/>
  <c r="C50" i="145"/>
  <c r="D49" i="145"/>
  <c r="C49" i="145"/>
  <c r="D48" i="145"/>
  <c r="C48" i="145"/>
  <c r="D47" i="145"/>
  <c r="C47" i="145"/>
  <c r="D46" i="145"/>
  <c r="C46" i="145"/>
  <c r="D45" i="145"/>
  <c r="C45" i="145"/>
  <c r="D44" i="145"/>
  <c r="C44" i="145"/>
  <c r="D43" i="145"/>
  <c r="C43" i="145"/>
  <c r="D42" i="145"/>
  <c r="C42" i="145"/>
  <c r="D41" i="145"/>
  <c r="C41" i="145"/>
  <c r="D40" i="145"/>
  <c r="C40" i="145"/>
  <c r="D39" i="145"/>
  <c r="C39" i="145"/>
  <c r="D38" i="145"/>
  <c r="C38" i="145"/>
  <c r="D37" i="145"/>
  <c r="C37" i="145"/>
  <c r="D36" i="145"/>
  <c r="C36" i="145"/>
  <c r="D35" i="145"/>
  <c r="C35" i="145"/>
  <c r="D34" i="145"/>
  <c r="C34" i="145"/>
  <c r="D33" i="145"/>
  <c r="C33" i="145"/>
  <c r="D32" i="145"/>
  <c r="C32" i="145"/>
  <c r="D31" i="145"/>
  <c r="C31" i="145"/>
  <c r="D30" i="145"/>
  <c r="C30" i="145"/>
  <c r="D29" i="145"/>
  <c r="C29" i="145"/>
  <c r="D28" i="145"/>
  <c r="C28" i="145"/>
  <c r="D27" i="145"/>
  <c r="C27" i="145"/>
  <c r="D26" i="145"/>
  <c r="C26" i="145"/>
  <c r="D25" i="145"/>
  <c r="C25" i="145"/>
  <c r="D24" i="145"/>
  <c r="C24" i="145"/>
  <c r="D23" i="145"/>
  <c r="C23" i="145"/>
  <c r="D22" i="145"/>
  <c r="C22" i="145"/>
  <c r="D21" i="145"/>
  <c r="C21" i="145"/>
  <c r="D20" i="145"/>
  <c r="C20" i="145"/>
  <c r="D19" i="145"/>
  <c r="C19" i="145"/>
  <c r="D18" i="145"/>
  <c r="C18" i="145"/>
  <c r="D17" i="145"/>
  <c r="C17" i="145"/>
  <c r="D16" i="145"/>
  <c r="C16" i="145"/>
  <c r="D15" i="145"/>
  <c r="C15" i="145"/>
  <c r="D14" i="145"/>
  <c r="C14" i="145"/>
  <c r="D13" i="145"/>
  <c r="C13" i="145"/>
  <c r="D12" i="145"/>
  <c r="C12" i="145"/>
  <c r="D11" i="145"/>
  <c r="C11" i="145"/>
  <c r="D10" i="145"/>
  <c r="C10" i="145"/>
  <c r="D9" i="145"/>
  <c r="C9" i="145"/>
  <c r="D8" i="145"/>
  <c r="C8" i="145"/>
  <c r="D7" i="145"/>
  <c r="C7" i="145"/>
  <c r="D6" i="145"/>
  <c r="C6" i="145"/>
  <c r="D5" i="145"/>
  <c r="C5" i="145"/>
  <c r="B2" i="145"/>
  <c r="A2" i="145"/>
  <c r="A62" i="144"/>
  <c r="D60" i="144"/>
  <c r="C60" i="144"/>
  <c r="D59" i="144"/>
  <c r="C59" i="144"/>
  <c r="D58" i="144"/>
  <c r="C58" i="144"/>
  <c r="D57" i="144"/>
  <c r="C57" i="144"/>
  <c r="D56" i="144"/>
  <c r="C56" i="144"/>
  <c r="D55" i="144"/>
  <c r="C55" i="144"/>
  <c r="D54" i="144"/>
  <c r="C54" i="144"/>
  <c r="D53" i="144"/>
  <c r="C53" i="144"/>
  <c r="D52" i="144"/>
  <c r="C52" i="144"/>
  <c r="D51" i="144"/>
  <c r="C51" i="144"/>
  <c r="D50" i="144"/>
  <c r="C50" i="144"/>
  <c r="D49" i="144"/>
  <c r="C49" i="144"/>
  <c r="D48" i="144"/>
  <c r="C48" i="144"/>
  <c r="D47" i="144"/>
  <c r="C47" i="144"/>
  <c r="D46" i="144"/>
  <c r="C46" i="144"/>
  <c r="D45" i="144"/>
  <c r="C45" i="144"/>
  <c r="D44" i="144"/>
  <c r="C44" i="144"/>
  <c r="D43" i="144"/>
  <c r="C43" i="144"/>
  <c r="D42" i="144"/>
  <c r="C42" i="144"/>
  <c r="D41" i="144"/>
  <c r="C41" i="144"/>
  <c r="D40" i="144"/>
  <c r="C40" i="144"/>
  <c r="D39" i="144"/>
  <c r="C39" i="144"/>
  <c r="D38" i="144"/>
  <c r="C38" i="144"/>
  <c r="D37" i="144"/>
  <c r="C37" i="144"/>
  <c r="D36" i="144"/>
  <c r="C36" i="144"/>
  <c r="D35" i="144"/>
  <c r="C35" i="144"/>
  <c r="D34" i="144"/>
  <c r="C34" i="144"/>
  <c r="D33" i="144"/>
  <c r="C33" i="144"/>
  <c r="D32" i="144"/>
  <c r="C32" i="144"/>
  <c r="D31" i="144"/>
  <c r="C31" i="144"/>
  <c r="D30" i="144"/>
  <c r="C30" i="144"/>
  <c r="D29" i="144"/>
  <c r="C29" i="144"/>
  <c r="D28" i="144"/>
  <c r="C28" i="144"/>
  <c r="D27" i="144"/>
  <c r="C27" i="144"/>
  <c r="D26" i="144"/>
  <c r="C26" i="144"/>
  <c r="D25" i="144"/>
  <c r="C25" i="144"/>
  <c r="D24" i="144"/>
  <c r="C24" i="144"/>
  <c r="D23" i="144"/>
  <c r="C23" i="144"/>
  <c r="D22" i="144"/>
  <c r="C22" i="144"/>
  <c r="D21" i="144"/>
  <c r="C21" i="144"/>
  <c r="D20" i="144"/>
  <c r="C20" i="144"/>
  <c r="D19" i="144"/>
  <c r="C19" i="144"/>
  <c r="D18" i="144"/>
  <c r="C18" i="144"/>
  <c r="D17" i="144"/>
  <c r="C17" i="144"/>
  <c r="D16" i="144"/>
  <c r="C16" i="144"/>
  <c r="D15" i="144"/>
  <c r="C15" i="144"/>
  <c r="D14" i="144"/>
  <c r="C14" i="144"/>
  <c r="D13" i="144"/>
  <c r="C13" i="144"/>
  <c r="D12" i="144"/>
  <c r="C12" i="144"/>
  <c r="D11" i="144"/>
  <c r="C11" i="144"/>
  <c r="D10" i="144"/>
  <c r="C10" i="144"/>
  <c r="D9" i="144"/>
  <c r="C9" i="144"/>
  <c r="D8" i="144"/>
  <c r="C8" i="144"/>
  <c r="D7" i="144"/>
  <c r="C7" i="144"/>
  <c r="D6" i="144"/>
  <c r="C6" i="144"/>
  <c r="D5" i="144"/>
  <c r="C5" i="144"/>
  <c r="B2" i="144"/>
  <c r="A2" i="144"/>
  <c r="A62" i="143"/>
  <c r="D60" i="143"/>
  <c r="C60" i="143"/>
  <c r="D59" i="143"/>
  <c r="C59" i="143"/>
  <c r="D58" i="143"/>
  <c r="C58" i="143"/>
  <c r="D57" i="143"/>
  <c r="C57" i="143"/>
  <c r="D56" i="143"/>
  <c r="C56" i="143"/>
  <c r="D55" i="143"/>
  <c r="C55" i="143"/>
  <c r="D54" i="143"/>
  <c r="C54" i="143"/>
  <c r="D53" i="143"/>
  <c r="C53" i="143"/>
  <c r="D52" i="143"/>
  <c r="C52" i="143"/>
  <c r="D51" i="143"/>
  <c r="C51" i="143"/>
  <c r="D50" i="143"/>
  <c r="C50" i="143"/>
  <c r="D49" i="143"/>
  <c r="C49" i="143"/>
  <c r="D48" i="143"/>
  <c r="C48" i="143"/>
  <c r="D47" i="143"/>
  <c r="C47" i="143"/>
  <c r="D46" i="143"/>
  <c r="C46" i="143"/>
  <c r="D45" i="143"/>
  <c r="C45" i="143"/>
  <c r="D44" i="143"/>
  <c r="C44" i="143"/>
  <c r="D43" i="143"/>
  <c r="C43" i="143"/>
  <c r="D42" i="143"/>
  <c r="C42" i="143"/>
  <c r="D41" i="143"/>
  <c r="C41" i="143"/>
  <c r="D40" i="143"/>
  <c r="C40" i="143"/>
  <c r="D39" i="143"/>
  <c r="C39" i="143"/>
  <c r="D38" i="143"/>
  <c r="C38" i="143"/>
  <c r="D37" i="143"/>
  <c r="C37" i="143"/>
  <c r="D36" i="143"/>
  <c r="C36" i="143"/>
  <c r="D35" i="143"/>
  <c r="C35" i="143"/>
  <c r="D34" i="143"/>
  <c r="C34" i="143"/>
  <c r="D33" i="143"/>
  <c r="C33" i="143"/>
  <c r="D32" i="143"/>
  <c r="C32" i="143"/>
  <c r="D31" i="143"/>
  <c r="C31" i="143"/>
  <c r="D30" i="143"/>
  <c r="C30" i="143"/>
  <c r="D29" i="143"/>
  <c r="C29" i="143"/>
  <c r="D28" i="143"/>
  <c r="C28" i="143"/>
  <c r="D27" i="143"/>
  <c r="C27" i="143"/>
  <c r="D26" i="143"/>
  <c r="C26" i="143"/>
  <c r="D25" i="143"/>
  <c r="C25" i="143"/>
  <c r="D24" i="143"/>
  <c r="C24" i="143"/>
  <c r="D23" i="143"/>
  <c r="C23" i="143"/>
  <c r="D22" i="143"/>
  <c r="C22" i="143"/>
  <c r="D21" i="143"/>
  <c r="C21" i="143"/>
  <c r="D20" i="143"/>
  <c r="C20" i="143"/>
  <c r="D19" i="143"/>
  <c r="C19" i="143"/>
  <c r="D18" i="143"/>
  <c r="C18" i="143"/>
  <c r="D17" i="143"/>
  <c r="C17" i="143"/>
  <c r="D16" i="143"/>
  <c r="C16" i="143"/>
  <c r="D15" i="143"/>
  <c r="C15" i="143"/>
  <c r="D14" i="143"/>
  <c r="C14" i="143"/>
  <c r="D13" i="143"/>
  <c r="C13" i="143"/>
  <c r="D12" i="143"/>
  <c r="C12" i="143"/>
  <c r="D11" i="143"/>
  <c r="C11" i="143"/>
  <c r="D10" i="143"/>
  <c r="C10" i="143"/>
  <c r="D9" i="143"/>
  <c r="C9" i="143"/>
  <c r="D8" i="143"/>
  <c r="C8" i="143"/>
  <c r="D7" i="143"/>
  <c r="C7" i="143"/>
  <c r="D6" i="143"/>
  <c r="C6" i="143"/>
  <c r="D5" i="143"/>
  <c r="C5" i="143"/>
  <c r="B2" i="143"/>
  <c r="A2" i="143"/>
  <c r="A62" i="142"/>
  <c r="D60" i="142"/>
  <c r="C60" i="142"/>
  <c r="D59" i="142"/>
  <c r="C59" i="142"/>
  <c r="D58" i="142"/>
  <c r="C58" i="142"/>
  <c r="D57" i="142"/>
  <c r="C57" i="142"/>
  <c r="D56" i="142"/>
  <c r="C56" i="142"/>
  <c r="D55" i="142"/>
  <c r="C55" i="142"/>
  <c r="D54" i="142"/>
  <c r="C54" i="142"/>
  <c r="D53" i="142"/>
  <c r="C53" i="142"/>
  <c r="D52" i="142"/>
  <c r="C52" i="142"/>
  <c r="D51" i="142"/>
  <c r="C51" i="142"/>
  <c r="D50" i="142"/>
  <c r="C50" i="142"/>
  <c r="D49" i="142"/>
  <c r="C49" i="142"/>
  <c r="D48" i="142"/>
  <c r="C48" i="142"/>
  <c r="D47" i="142"/>
  <c r="C47" i="142"/>
  <c r="D46" i="142"/>
  <c r="C46" i="142"/>
  <c r="D45" i="142"/>
  <c r="C45" i="142"/>
  <c r="D44" i="142"/>
  <c r="C44" i="142"/>
  <c r="D43" i="142"/>
  <c r="C43" i="142"/>
  <c r="D42" i="142"/>
  <c r="C42" i="142"/>
  <c r="D41" i="142"/>
  <c r="C41" i="142"/>
  <c r="D40" i="142"/>
  <c r="C40" i="142"/>
  <c r="D39" i="142"/>
  <c r="C39" i="142"/>
  <c r="D38" i="142"/>
  <c r="C38" i="142"/>
  <c r="D37" i="142"/>
  <c r="C37" i="142"/>
  <c r="D36" i="142"/>
  <c r="C36" i="142"/>
  <c r="D35" i="142"/>
  <c r="C35" i="142"/>
  <c r="D34" i="142"/>
  <c r="C34" i="142"/>
  <c r="D33" i="142"/>
  <c r="C33" i="142"/>
  <c r="D32" i="142"/>
  <c r="C32" i="142"/>
  <c r="D31" i="142"/>
  <c r="C31" i="142"/>
  <c r="D30" i="142"/>
  <c r="C30" i="142"/>
  <c r="D29" i="142"/>
  <c r="C29" i="142"/>
  <c r="D28" i="142"/>
  <c r="C28" i="142"/>
  <c r="D27" i="142"/>
  <c r="C27" i="142"/>
  <c r="D26" i="142"/>
  <c r="C26" i="142"/>
  <c r="D25" i="142"/>
  <c r="C25" i="142"/>
  <c r="D24" i="142"/>
  <c r="C24" i="142"/>
  <c r="D23" i="142"/>
  <c r="C23" i="142"/>
  <c r="D22" i="142"/>
  <c r="C22" i="142"/>
  <c r="D21" i="142"/>
  <c r="C21" i="142"/>
  <c r="D20" i="142"/>
  <c r="C20" i="142"/>
  <c r="D19" i="142"/>
  <c r="C19" i="142"/>
  <c r="D18" i="142"/>
  <c r="C18" i="142"/>
  <c r="D17" i="142"/>
  <c r="C17" i="142"/>
  <c r="D16" i="142"/>
  <c r="C16" i="142"/>
  <c r="D15" i="142"/>
  <c r="C15" i="142"/>
  <c r="D14" i="142"/>
  <c r="C14" i="142"/>
  <c r="D13" i="142"/>
  <c r="C13" i="142"/>
  <c r="D12" i="142"/>
  <c r="C12" i="142"/>
  <c r="D11" i="142"/>
  <c r="C11" i="142"/>
  <c r="D10" i="142"/>
  <c r="C10" i="142"/>
  <c r="D9" i="142"/>
  <c r="C9" i="142"/>
  <c r="D8" i="142"/>
  <c r="C8" i="142"/>
  <c r="D7" i="142"/>
  <c r="C7" i="142"/>
  <c r="D6" i="142"/>
  <c r="C6" i="142"/>
  <c r="D5" i="142"/>
  <c r="C5" i="142"/>
  <c r="B2" i="142"/>
  <c r="A2" i="142"/>
  <c r="A62" i="141"/>
  <c r="D60" i="141"/>
  <c r="C60" i="141"/>
  <c r="D59" i="141"/>
  <c r="C59" i="141"/>
  <c r="D58" i="141"/>
  <c r="C58" i="141"/>
  <c r="D57" i="141"/>
  <c r="C57" i="141"/>
  <c r="D56" i="141"/>
  <c r="C56" i="141"/>
  <c r="D55" i="141"/>
  <c r="C55" i="141"/>
  <c r="D54" i="141"/>
  <c r="C54" i="141"/>
  <c r="D53" i="141"/>
  <c r="C53" i="141"/>
  <c r="D52" i="141"/>
  <c r="C52" i="141"/>
  <c r="D51" i="141"/>
  <c r="C51" i="141"/>
  <c r="D50" i="141"/>
  <c r="C50" i="141"/>
  <c r="D49" i="141"/>
  <c r="C49" i="141"/>
  <c r="D48" i="141"/>
  <c r="C48" i="141"/>
  <c r="D47" i="141"/>
  <c r="C47" i="141"/>
  <c r="D46" i="141"/>
  <c r="C46" i="141"/>
  <c r="D45" i="141"/>
  <c r="C45" i="141"/>
  <c r="D44" i="141"/>
  <c r="C44" i="141"/>
  <c r="D43" i="141"/>
  <c r="C43" i="141"/>
  <c r="D42" i="141"/>
  <c r="C42" i="141"/>
  <c r="D41" i="141"/>
  <c r="C41" i="141"/>
  <c r="D40" i="141"/>
  <c r="C40" i="141"/>
  <c r="D39" i="141"/>
  <c r="C39" i="141"/>
  <c r="D38" i="141"/>
  <c r="C38" i="141"/>
  <c r="D37" i="141"/>
  <c r="C37" i="141"/>
  <c r="D36" i="141"/>
  <c r="C36" i="141"/>
  <c r="D35" i="141"/>
  <c r="C35" i="141"/>
  <c r="D34" i="141"/>
  <c r="C34" i="141"/>
  <c r="D33" i="141"/>
  <c r="C33" i="141"/>
  <c r="D32" i="141"/>
  <c r="C32" i="141"/>
  <c r="D31" i="141"/>
  <c r="C31" i="141"/>
  <c r="D30" i="141"/>
  <c r="C30" i="141"/>
  <c r="D29" i="141"/>
  <c r="C29" i="141"/>
  <c r="D28" i="141"/>
  <c r="C28" i="141"/>
  <c r="D27" i="141"/>
  <c r="C27" i="141"/>
  <c r="D26" i="141"/>
  <c r="C26" i="141"/>
  <c r="D25" i="141"/>
  <c r="C25" i="141"/>
  <c r="D24" i="141"/>
  <c r="C24" i="141"/>
  <c r="D23" i="141"/>
  <c r="C23" i="141"/>
  <c r="D22" i="141"/>
  <c r="C22" i="141"/>
  <c r="D21" i="141"/>
  <c r="C21" i="141"/>
  <c r="D20" i="141"/>
  <c r="C20" i="141"/>
  <c r="D19" i="141"/>
  <c r="C19" i="141"/>
  <c r="D18" i="141"/>
  <c r="C18" i="141"/>
  <c r="D17" i="141"/>
  <c r="C17" i="141"/>
  <c r="D16" i="141"/>
  <c r="C16" i="141"/>
  <c r="D15" i="141"/>
  <c r="C15" i="141"/>
  <c r="D14" i="141"/>
  <c r="C14" i="141"/>
  <c r="D13" i="141"/>
  <c r="C13" i="141"/>
  <c r="D12" i="141"/>
  <c r="C12" i="141"/>
  <c r="D11" i="141"/>
  <c r="C11" i="141"/>
  <c r="D10" i="141"/>
  <c r="C10" i="141"/>
  <c r="D9" i="141"/>
  <c r="C9" i="141"/>
  <c r="D8" i="141"/>
  <c r="C8" i="141"/>
  <c r="D7" i="141"/>
  <c r="C7" i="141"/>
  <c r="D6" i="141"/>
  <c r="C6" i="141"/>
  <c r="D5" i="141"/>
  <c r="C5" i="141"/>
  <c r="B2" i="141"/>
  <c r="A2" i="141"/>
  <c r="A62" i="140"/>
  <c r="D60" i="140"/>
  <c r="C60" i="140"/>
  <c r="D59" i="140"/>
  <c r="C59" i="140"/>
  <c r="D58" i="140"/>
  <c r="C58" i="140"/>
  <c r="D57" i="140"/>
  <c r="C57" i="140"/>
  <c r="D56" i="140"/>
  <c r="C56" i="140"/>
  <c r="D55" i="140"/>
  <c r="C55" i="140"/>
  <c r="D54" i="140"/>
  <c r="C54" i="140"/>
  <c r="D53" i="140"/>
  <c r="C53" i="140"/>
  <c r="D52" i="140"/>
  <c r="C52" i="140"/>
  <c r="D51" i="140"/>
  <c r="C51" i="140"/>
  <c r="D50" i="140"/>
  <c r="C50" i="140"/>
  <c r="D49" i="140"/>
  <c r="C49" i="140"/>
  <c r="D48" i="140"/>
  <c r="C48" i="140"/>
  <c r="D47" i="140"/>
  <c r="C47" i="140"/>
  <c r="D46" i="140"/>
  <c r="C46" i="140"/>
  <c r="D45" i="140"/>
  <c r="C45" i="140"/>
  <c r="D44" i="140"/>
  <c r="C44" i="140"/>
  <c r="D43" i="140"/>
  <c r="C43" i="140"/>
  <c r="D42" i="140"/>
  <c r="C42" i="140"/>
  <c r="D41" i="140"/>
  <c r="C41" i="140"/>
  <c r="D40" i="140"/>
  <c r="C40" i="140"/>
  <c r="D39" i="140"/>
  <c r="C39" i="140"/>
  <c r="D38" i="140"/>
  <c r="C38" i="140"/>
  <c r="D37" i="140"/>
  <c r="C37" i="140"/>
  <c r="D36" i="140"/>
  <c r="C36" i="140"/>
  <c r="D35" i="140"/>
  <c r="C35" i="140"/>
  <c r="D34" i="140"/>
  <c r="C34" i="140"/>
  <c r="D33" i="140"/>
  <c r="C33" i="140"/>
  <c r="D32" i="140"/>
  <c r="C32" i="140"/>
  <c r="D31" i="140"/>
  <c r="C31" i="140"/>
  <c r="D30" i="140"/>
  <c r="C30" i="140"/>
  <c r="D29" i="140"/>
  <c r="C29" i="140"/>
  <c r="D28" i="140"/>
  <c r="C28" i="140"/>
  <c r="D27" i="140"/>
  <c r="C27" i="140"/>
  <c r="D26" i="140"/>
  <c r="C26" i="140"/>
  <c r="D25" i="140"/>
  <c r="C25" i="140"/>
  <c r="D24" i="140"/>
  <c r="C24" i="140"/>
  <c r="D23" i="140"/>
  <c r="C23" i="140"/>
  <c r="D22" i="140"/>
  <c r="C22" i="140"/>
  <c r="D21" i="140"/>
  <c r="C21" i="140"/>
  <c r="D20" i="140"/>
  <c r="C20" i="140"/>
  <c r="D19" i="140"/>
  <c r="C19" i="140"/>
  <c r="D18" i="140"/>
  <c r="C18" i="140"/>
  <c r="D17" i="140"/>
  <c r="C17" i="140"/>
  <c r="D16" i="140"/>
  <c r="C16" i="140"/>
  <c r="D15" i="140"/>
  <c r="C15" i="140"/>
  <c r="D14" i="140"/>
  <c r="C14" i="140"/>
  <c r="D13" i="140"/>
  <c r="C13" i="140"/>
  <c r="D12" i="140"/>
  <c r="C12" i="140"/>
  <c r="D11" i="140"/>
  <c r="C11" i="140"/>
  <c r="D10" i="140"/>
  <c r="C10" i="140"/>
  <c r="D9" i="140"/>
  <c r="C9" i="140"/>
  <c r="D8" i="140"/>
  <c r="C8" i="140"/>
  <c r="D7" i="140"/>
  <c r="C7" i="140"/>
  <c r="D6" i="140"/>
  <c r="C6" i="140"/>
  <c r="D5" i="140"/>
  <c r="C5" i="140"/>
  <c r="B2" i="140"/>
  <c r="A2" i="140"/>
  <c r="A62" i="139"/>
  <c r="D60" i="139"/>
  <c r="C60" i="139"/>
  <c r="D59" i="139"/>
  <c r="C59" i="139"/>
  <c r="D58" i="139"/>
  <c r="C58" i="139"/>
  <c r="D57" i="139"/>
  <c r="C57" i="139"/>
  <c r="D56" i="139"/>
  <c r="C56" i="139"/>
  <c r="D55" i="139"/>
  <c r="C55" i="139"/>
  <c r="D54" i="139"/>
  <c r="C54" i="139"/>
  <c r="D53" i="139"/>
  <c r="C53" i="139"/>
  <c r="D52" i="139"/>
  <c r="C52" i="139"/>
  <c r="D51" i="139"/>
  <c r="C51" i="139"/>
  <c r="D50" i="139"/>
  <c r="C50" i="139"/>
  <c r="D49" i="139"/>
  <c r="C49" i="139"/>
  <c r="D48" i="139"/>
  <c r="C48" i="139"/>
  <c r="D47" i="139"/>
  <c r="C47" i="139"/>
  <c r="D46" i="139"/>
  <c r="C46" i="139"/>
  <c r="D45" i="139"/>
  <c r="C45" i="139"/>
  <c r="D44" i="139"/>
  <c r="C44" i="139"/>
  <c r="D43" i="139"/>
  <c r="C43" i="139"/>
  <c r="D42" i="139"/>
  <c r="C42" i="139"/>
  <c r="D41" i="139"/>
  <c r="C41" i="139"/>
  <c r="D40" i="139"/>
  <c r="C40" i="139"/>
  <c r="D39" i="139"/>
  <c r="C39" i="139"/>
  <c r="D38" i="139"/>
  <c r="C38" i="139"/>
  <c r="D37" i="139"/>
  <c r="C37" i="139"/>
  <c r="D36" i="139"/>
  <c r="C36" i="139"/>
  <c r="D35" i="139"/>
  <c r="C35" i="139"/>
  <c r="D34" i="139"/>
  <c r="C34" i="139"/>
  <c r="D33" i="139"/>
  <c r="C33" i="139"/>
  <c r="D32" i="139"/>
  <c r="C32" i="139"/>
  <c r="D31" i="139"/>
  <c r="C31" i="139"/>
  <c r="D30" i="139"/>
  <c r="C30" i="139"/>
  <c r="D29" i="139"/>
  <c r="C29" i="139"/>
  <c r="D28" i="139"/>
  <c r="C28" i="139"/>
  <c r="D27" i="139"/>
  <c r="C27" i="139"/>
  <c r="D26" i="139"/>
  <c r="C26" i="139"/>
  <c r="D25" i="139"/>
  <c r="C25" i="139"/>
  <c r="D24" i="139"/>
  <c r="C24" i="139"/>
  <c r="D23" i="139"/>
  <c r="C23" i="139"/>
  <c r="D22" i="139"/>
  <c r="C22" i="139"/>
  <c r="D21" i="139"/>
  <c r="C21" i="139"/>
  <c r="D20" i="139"/>
  <c r="C20" i="139"/>
  <c r="D19" i="139"/>
  <c r="C19" i="139"/>
  <c r="D18" i="139"/>
  <c r="C18" i="139"/>
  <c r="D17" i="139"/>
  <c r="C17" i="139"/>
  <c r="D16" i="139"/>
  <c r="C16" i="139"/>
  <c r="D15" i="139"/>
  <c r="C15" i="139"/>
  <c r="D14" i="139"/>
  <c r="C14" i="139"/>
  <c r="D13" i="139"/>
  <c r="C13" i="139"/>
  <c r="D12" i="139"/>
  <c r="C12" i="139"/>
  <c r="D11" i="139"/>
  <c r="C11" i="139"/>
  <c r="D10" i="139"/>
  <c r="C10" i="139"/>
  <c r="D9" i="139"/>
  <c r="C9" i="139"/>
  <c r="D8" i="139"/>
  <c r="C8" i="139"/>
  <c r="D7" i="139"/>
  <c r="C7" i="139"/>
  <c r="D6" i="139"/>
  <c r="C6" i="139"/>
  <c r="D5" i="139"/>
  <c r="C5" i="139"/>
  <c r="B2" i="139"/>
  <c r="A2" i="139"/>
  <c r="A62" i="138"/>
  <c r="D60" i="138"/>
  <c r="C60" i="138"/>
  <c r="D59" i="138"/>
  <c r="C59" i="138"/>
  <c r="D58" i="138"/>
  <c r="C58" i="138"/>
  <c r="D57" i="138"/>
  <c r="C57" i="138"/>
  <c r="D56" i="138"/>
  <c r="C56" i="138"/>
  <c r="D55" i="138"/>
  <c r="C55" i="138"/>
  <c r="D54" i="138"/>
  <c r="C54" i="138"/>
  <c r="D53" i="138"/>
  <c r="C53" i="138"/>
  <c r="D52" i="138"/>
  <c r="C52" i="138"/>
  <c r="D51" i="138"/>
  <c r="C51" i="138"/>
  <c r="D50" i="138"/>
  <c r="C50" i="138"/>
  <c r="D49" i="138"/>
  <c r="C49" i="138"/>
  <c r="D48" i="138"/>
  <c r="C48" i="138"/>
  <c r="D47" i="138"/>
  <c r="C47" i="138"/>
  <c r="D46" i="138"/>
  <c r="C46" i="138"/>
  <c r="D45" i="138"/>
  <c r="C45" i="138"/>
  <c r="D44" i="138"/>
  <c r="C44" i="138"/>
  <c r="D43" i="138"/>
  <c r="C43" i="138"/>
  <c r="D42" i="138"/>
  <c r="C42" i="138"/>
  <c r="D41" i="138"/>
  <c r="C41" i="138"/>
  <c r="D40" i="138"/>
  <c r="C40" i="138"/>
  <c r="D39" i="138"/>
  <c r="C39" i="138"/>
  <c r="D38" i="138"/>
  <c r="C38" i="138"/>
  <c r="D37" i="138"/>
  <c r="C37" i="138"/>
  <c r="D36" i="138"/>
  <c r="C36" i="138"/>
  <c r="D35" i="138"/>
  <c r="C35" i="138"/>
  <c r="D34" i="138"/>
  <c r="C34" i="138"/>
  <c r="D33" i="138"/>
  <c r="C33" i="138"/>
  <c r="D32" i="138"/>
  <c r="C32" i="138"/>
  <c r="D31" i="138"/>
  <c r="C31" i="138"/>
  <c r="D30" i="138"/>
  <c r="C30" i="138"/>
  <c r="D29" i="138"/>
  <c r="C29" i="138"/>
  <c r="D28" i="138"/>
  <c r="C28" i="138"/>
  <c r="D27" i="138"/>
  <c r="C27" i="138"/>
  <c r="D26" i="138"/>
  <c r="C26" i="138"/>
  <c r="D25" i="138"/>
  <c r="C25" i="138"/>
  <c r="D24" i="138"/>
  <c r="C24" i="138"/>
  <c r="D23" i="138"/>
  <c r="C23" i="138"/>
  <c r="D22" i="138"/>
  <c r="C22" i="138"/>
  <c r="D21" i="138"/>
  <c r="C21" i="138"/>
  <c r="D20" i="138"/>
  <c r="C20" i="138"/>
  <c r="D19" i="138"/>
  <c r="C19" i="138"/>
  <c r="D18" i="138"/>
  <c r="C18" i="138"/>
  <c r="D17" i="138"/>
  <c r="C17" i="138"/>
  <c r="D16" i="138"/>
  <c r="C16" i="138"/>
  <c r="D15" i="138"/>
  <c r="C15" i="138"/>
  <c r="D14" i="138"/>
  <c r="C14" i="138"/>
  <c r="D13" i="138"/>
  <c r="C13" i="138"/>
  <c r="D12" i="138"/>
  <c r="C12" i="138"/>
  <c r="D11" i="138"/>
  <c r="C11" i="138"/>
  <c r="D10" i="138"/>
  <c r="C10" i="138"/>
  <c r="D9" i="138"/>
  <c r="C9" i="138"/>
  <c r="D8" i="138"/>
  <c r="C8" i="138"/>
  <c r="D7" i="138"/>
  <c r="C7" i="138"/>
  <c r="D6" i="138"/>
  <c r="C6" i="138"/>
  <c r="D5" i="138"/>
  <c r="C5" i="138"/>
  <c r="B2" i="138"/>
  <c r="A2" i="138"/>
  <c r="A62" i="137"/>
  <c r="D60" i="137"/>
  <c r="C60" i="137"/>
  <c r="D59" i="137"/>
  <c r="C59" i="137"/>
  <c r="D58" i="137"/>
  <c r="C58" i="137"/>
  <c r="D57" i="137"/>
  <c r="C57" i="137"/>
  <c r="D56" i="137"/>
  <c r="C56" i="137"/>
  <c r="D55" i="137"/>
  <c r="C55" i="137"/>
  <c r="D54" i="137"/>
  <c r="C54" i="137"/>
  <c r="D53" i="137"/>
  <c r="C53" i="137"/>
  <c r="D52" i="137"/>
  <c r="C52" i="137"/>
  <c r="D51" i="137"/>
  <c r="C51" i="137"/>
  <c r="D50" i="137"/>
  <c r="C50" i="137"/>
  <c r="D49" i="137"/>
  <c r="C49" i="137"/>
  <c r="D48" i="137"/>
  <c r="C48" i="137"/>
  <c r="D47" i="137"/>
  <c r="C47" i="137"/>
  <c r="D46" i="137"/>
  <c r="C46" i="137"/>
  <c r="D45" i="137"/>
  <c r="C45" i="137"/>
  <c r="D44" i="137"/>
  <c r="C44" i="137"/>
  <c r="D43" i="137"/>
  <c r="C43" i="137"/>
  <c r="D42" i="137"/>
  <c r="C42" i="137"/>
  <c r="D41" i="137"/>
  <c r="C41" i="137"/>
  <c r="D40" i="137"/>
  <c r="C40" i="137"/>
  <c r="D39" i="137"/>
  <c r="C39" i="137"/>
  <c r="D38" i="137"/>
  <c r="C38" i="137"/>
  <c r="D37" i="137"/>
  <c r="C37" i="137"/>
  <c r="D36" i="137"/>
  <c r="C36" i="137"/>
  <c r="D35" i="137"/>
  <c r="C35" i="137"/>
  <c r="D34" i="137"/>
  <c r="C34" i="137"/>
  <c r="D33" i="137"/>
  <c r="C33" i="137"/>
  <c r="D32" i="137"/>
  <c r="C32" i="137"/>
  <c r="D31" i="137"/>
  <c r="C31" i="137"/>
  <c r="D30" i="137"/>
  <c r="C30" i="137"/>
  <c r="D29" i="137"/>
  <c r="C29" i="137"/>
  <c r="D28" i="137"/>
  <c r="C28" i="137"/>
  <c r="D27" i="137"/>
  <c r="C27" i="137"/>
  <c r="D26" i="137"/>
  <c r="C26" i="137"/>
  <c r="D25" i="137"/>
  <c r="C25" i="137"/>
  <c r="D24" i="137"/>
  <c r="C24" i="137"/>
  <c r="D23" i="137"/>
  <c r="C23" i="137"/>
  <c r="D22" i="137"/>
  <c r="C22" i="137"/>
  <c r="D21" i="137"/>
  <c r="C21" i="137"/>
  <c r="D20" i="137"/>
  <c r="C20" i="137"/>
  <c r="D19" i="137"/>
  <c r="C19" i="137"/>
  <c r="D18" i="137"/>
  <c r="C18" i="137"/>
  <c r="D17" i="137"/>
  <c r="C17" i="137"/>
  <c r="D16" i="137"/>
  <c r="C16" i="137"/>
  <c r="D15" i="137"/>
  <c r="C15" i="137"/>
  <c r="D14" i="137"/>
  <c r="C14" i="137"/>
  <c r="D13" i="137"/>
  <c r="C13" i="137"/>
  <c r="D12" i="137"/>
  <c r="C12" i="137"/>
  <c r="D11" i="137"/>
  <c r="C11" i="137"/>
  <c r="D10" i="137"/>
  <c r="C10" i="137"/>
  <c r="D9" i="137"/>
  <c r="C9" i="137"/>
  <c r="D8" i="137"/>
  <c r="C8" i="137"/>
  <c r="D7" i="137"/>
  <c r="C7" i="137"/>
  <c r="D6" i="137"/>
  <c r="C6" i="137"/>
  <c r="D5" i="137"/>
  <c r="C5" i="137"/>
  <c r="B2" i="137"/>
  <c r="A2" i="137"/>
  <c r="A62" i="136"/>
  <c r="D60" i="136"/>
  <c r="C60" i="136"/>
  <c r="D59" i="136"/>
  <c r="C59" i="136"/>
  <c r="D58" i="136"/>
  <c r="C58" i="136"/>
  <c r="D57" i="136"/>
  <c r="C57" i="136"/>
  <c r="D56" i="136"/>
  <c r="C56" i="136"/>
  <c r="D55" i="136"/>
  <c r="C55" i="136"/>
  <c r="D54" i="136"/>
  <c r="C54" i="136"/>
  <c r="D53" i="136"/>
  <c r="C53" i="136"/>
  <c r="D52" i="136"/>
  <c r="C52" i="136"/>
  <c r="D51" i="136"/>
  <c r="C51" i="136"/>
  <c r="D50" i="136"/>
  <c r="C50" i="136"/>
  <c r="D49" i="136"/>
  <c r="C49" i="136"/>
  <c r="D48" i="136"/>
  <c r="C48" i="136"/>
  <c r="D47" i="136"/>
  <c r="C47" i="136"/>
  <c r="D46" i="136"/>
  <c r="C46" i="136"/>
  <c r="D45" i="136"/>
  <c r="C45" i="136"/>
  <c r="D44" i="136"/>
  <c r="C44" i="136"/>
  <c r="D43" i="136"/>
  <c r="C43" i="136"/>
  <c r="D42" i="136"/>
  <c r="C42" i="136"/>
  <c r="D41" i="136"/>
  <c r="C41" i="136"/>
  <c r="D40" i="136"/>
  <c r="C40" i="136"/>
  <c r="D39" i="136"/>
  <c r="C39" i="136"/>
  <c r="D38" i="136"/>
  <c r="C38" i="136"/>
  <c r="D37" i="136"/>
  <c r="C37" i="136"/>
  <c r="D36" i="136"/>
  <c r="C36" i="136"/>
  <c r="D35" i="136"/>
  <c r="C35" i="136"/>
  <c r="D34" i="136"/>
  <c r="C34" i="136"/>
  <c r="D33" i="136"/>
  <c r="C33" i="136"/>
  <c r="D32" i="136"/>
  <c r="C32" i="136"/>
  <c r="D31" i="136"/>
  <c r="C31" i="136"/>
  <c r="D30" i="136"/>
  <c r="C30" i="136"/>
  <c r="D29" i="136"/>
  <c r="C29" i="136"/>
  <c r="D28" i="136"/>
  <c r="C28" i="136"/>
  <c r="D27" i="136"/>
  <c r="C27" i="136"/>
  <c r="D26" i="136"/>
  <c r="C26" i="136"/>
  <c r="D25" i="136"/>
  <c r="C25" i="136"/>
  <c r="D24" i="136"/>
  <c r="C24" i="136"/>
  <c r="D23" i="136"/>
  <c r="C23" i="136"/>
  <c r="D22" i="136"/>
  <c r="C22" i="136"/>
  <c r="D21" i="136"/>
  <c r="C21" i="136"/>
  <c r="D20" i="136"/>
  <c r="C20" i="136"/>
  <c r="D19" i="136"/>
  <c r="C19" i="136"/>
  <c r="D18" i="136"/>
  <c r="C18" i="136"/>
  <c r="D17" i="136"/>
  <c r="C17" i="136"/>
  <c r="D16" i="136"/>
  <c r="C16" i="136"/>
  <c r="D15" i="136"/>
  <c r="C15" i="136"/>
  <c r="D14" i="136"/>
  <c r="C14" i="136"/>
  <c r="D13" i="136"/>
  <c r="C13" i="136"/>
  <c r="D12" i="136"/>
  <c r="C12" i="136"/>
  <c r="D11" i="136"/>
  <c r="C11" i="136"/>
  <c r="D10" i="136"/>
  <c r="C10" i="136"/>
  <c r="D9" i="136"/>
  <c r="C9" i="136"/>
  <c r="D8" i="136"/>
  <c r="C8" i="136"/>
  <c r="D7" i="136"/>
  <c r="C7" i="136"/>
  <c r="D6" i="136"/>
  <c r="C6" i="136"/>
  <c r="D5" i="136"/>
  <c r="C5" i="136"/>
  <c r="B2" i="136"/>
  <c r="A2" i="136"/>
  <c r="A62" i="135"/>
  <c r="D60" i="135"/>
  <c r="C60" i="135"/>
  <c r="D59" i="135"/>
  <c r="C59" i="135"/>
  <c r="D58" i="135"/>
  <c r="C58" i="135"/>
  <c r="D57" i="135"/>
  <c r="C57" i="135"/>
  <c r="D56" i="135"/>
  <c r="C56" i="135"/>
  <c r="D55" i="135"/>
  <c r="C55" i="135"/>
  <c r="D54" i="135"/>
  <c r="C54" i="135"/>
  <c r="D53" i="135"/>
  <c r="C53" i="135"/>
  <c r="D52" i="135"/>
  <c r="C52" i="135"/>
  <c r="D51" i="135"/>
  <c r="C51" i="135"/>
  <c r="D50" i="135"/>
  <c r="C50" i="135"/>
  <c r="D49" i="135"/>
  <c r="C49" i="135"/>
  <c r="D48" i="135"/>
  <c r="C48" i="135"/>
  <c r="D47" i="135"/>
  <c r="C47" i="135"/>
  <c r="D46" i="135"/>
  <c r="C46" i="135"/>
  <c r="D45" i="135"/>
  <c r="C45" i="135"/>
  <c r="D44" i="135"/>
  <c r="C44" i="135"/>
  <c r="D43" i="135"/>
  <c r="C43" i="135"/>
  <c r="D42" i="135"/>
  <c r="C42" i="135"/>
  <c r="D41" i="135"/>
  <c r="C41" i="135"/>
  <c r="D40" i="135"/>
  <c r="C40" i="135"/>
  <c r="D39" i="135"/>
  <c r="C39" i="135"/>
  <c r="D38" i="135"/>
  <c r="C38" i="135"/>
  <c r="D37" i="135"/>
  <c r="C37" i="135"/>
  <c r="D36" i="135"/>
  <c r="C36" i="135"/>
  <c r="D35" i="135"/>
  <c r="C35" i="135"/>
  <c r="D34" i="135"/>
  <c r="C34" i="135"/>
  <c r="D33" i="135"/>
  <c r="C33" i="135"/>
  <c r="D32" i="135"/>
  <c r="C32" i="135"/>
  <c r="D31" i="135"/>
  <c r="C31" i="135"/>
  <c r="D30" i="135"/>
  <c r="C30" i="135"/>
  <c r="D29" i="135"/>
  <c r="C29" i="135"/>
  <c r="D28" i="135"/>
  <c r="C28" i="135"/>
  <c r="D27" i="135"/>
  <c r="C27" i="135"/>
  <c r="D26" i="135"/>
  <c r="C26" i="135"/>
  <c r="D25" i="135"/>
  <c r="C25" i="135"/>
  <c r="D24" i="135"/>
  <c r="C24" i="135"/>
  <c r="D23" i="135"/>
  <c r="C23" i="135"/>
  <c r="D22" i="135"/>
  <c r="C22" i="135"/>
  <c r="D21" i="135"/>
  <c r="C21" i="135"/>
  <c r="D20" i="135"/>
  <c r="C20" i="135"/>
  <c r="D19" i="135"/>
  <c r="C19" i="135"/>
  <c r="D18" i="135"/>
  <c r="C18" i="135"/>
  <c r="D17" i="135"/>
  <c r="C17" i="135"/>
  <c r="D16" i="135"/>
  <c r="C16" i="135"/>
  <c r="D15" i="135"/>
  <c r="C15" i="135"/>
  <c r="D14" i="135"/>
  <c r="C14" i="135"/>
  <c r="D13" i="135"/>
  <c r="C13" i="135"/>
  <c r="D12" i="135"/>
  <c r="C12" i="135"/>
  <c r="D11" i="135"/>
  <c r="C11" i="135"/>
  <c r="D10" i="135"/>
  <c r="C10" i="135"/>
  <c r="D9" i="135"/>
  <c r="C9" i="135"/>
  <c r="D8" i="135"/>
  <c r="C8" i="135"/>
  <c r="D7" i="135"/>
  <c r="C7" i="135"/>
  <c r="D6" i="135"/>
  <c r="C6" i="135"/>
  <c r="D5" i="135"/>
  <c r="C5" i="135"/>
  <c r="B2" i="135"/>
  <c r="A2" i="135"/>
  <c r="A62" i="134"/>
  <c r="D60" i="134"/>
  <c r="C60" i="134"/>
  <c r="D59" i="134"/>
  <c r="C59" i="134"/>
  <c r="D58" i="134"/>
  <c r="C58" i="134"/>
  <c r="D57" i="134"/>
  <c r="C57" i="134"/>
  <c r="D56" i="134"/>
  <c r="C56" i="134"/>
  <c r="D55" i="134"/>
  <c r="C55" i="134"/>
  <c r="D54" i="134"/>
  <c r="C54" i="134"/>
  <c r="D53" i="134"/>
  <c r="C53" i="134"/>
  <c r="D52" i="134"/>
  <c r="C52" i="134"/>
  <c r="D51" i="134"/>
  <c r="C51" i="134"/>
  <c r="D50" i="134"/>
  <c r="C50" i="134"/>
  <c r="D49" i="134"/>
  <c r="C49" i="134"/>
  <c r="D48" i="134"/>
  <c r="C48" i="134"/>
  <c r="D47" i="134"/>
  <c r="C47" i="134"/>
  <c r="D46" i="134"/>
  <c r="C46" i="134"/>
  <c r="D45" i="134"/>
  <c r="C45" i="134"/>
  <c r="D44" i="134"/>
  <c r="C44" i="134"/>
  <c r="D43" i="134"/>
  <c r="C43" i="134"/>
  <c r="D42" i="134"/>
  <c r="C42" i="134"/>
  <c r="D41" i="134"/>
  <c r="C41" i="134"/>
  <c r="D40" i="134"/>
  <c r="C40" i="134"/>
  <c r="D39" i="134"/>
  <c r="C39" i="134"/>
  <c r="D38" i="134"/>
  <c r="C38" i="134"/>
  <c r="D37" i="134"/>
  <c r="C37" i="134"/>
  <c r="D36" i="134"/>
  <c r="C36" i="134"/>
  <c r="D35" i="134"/>
  <c r="C35" i="134"/>
  <c r="D34" i="134"/>
  <c r="C34" i="134"/>
  <c r="D33" i="134"/>
  <c r="C33" i="134"/>
  <c r="D32" i="134"/>
  <c r="C32" i="134"/>
  <c r="D31" i="134"/>
  <c r="C31" i="134"/>
  <c r="D30" i="134"/>
  <c r="C30" i="134"/>
  <c r="D29" i="134"/>
  <c r="C29" i="134"/>
  <c r="D28" i="134"/>
  <c r="C28" i="134"/>
  <c r="D27" i="134"/>
  <c r="C27" i="134"/>
  <c r="D26" i="134"/>
  <c r="C26" i="134"/>
  <c r="D25" i="134"/>
  <c r="C25" i="134"/>
  <c r="D24" i="134"/>
  <c r="C24" i="134"/>
  <c r="D23" i="134"/>
  <c r="C23" i="134"/>
  <c r="D22" i="134"/>
  <c r="C22" i="134"/>
  <c r="D21" i="134"/>
  <c r="C21" i="134"/>
  <c r="D20" i="134"/>
  <c r="C20" i="134"/>
  <c r="D19" i="134"/>
  <c r="C19" i="134"/>
  <c r="D18" i="134"/>
  <c r="C18" i="134"/>
  <c r="D17" i="134"/>
  <c r="C17" i="134"/>
  <c r="D16" i="134"/>
  <c r="C16" i="134"/>
  <c r="D15" i="134"/>
  <c r="C15" i="134"/>
  <c r="D14" i="134"/>
  <c r="C14" i="134"/>
  <c r="D13" i="134"/>
  <c r="C13" i="134"/>
  <c r="D12" i="134"/>
  <c r="C12" i="134"/>
  <c r="D11" i="134"/>
  <c r="C11" i="134"/>
  <c r="D10" i="134"/>
  <c r="C10" i="134"/>
  <c r="D9" i="134"/>
  <c r="C9" i="134"/>
  <c r="D8" i="134"/>
  <c r="C8" i="134"/>
  <c r="D7" i="134"/>
  <c r="C7" i="134"/>
  <c r="D6" i="134"/>
  <c r="C6" i="134"/>
  <c r="D5" i="134"/>
  <c r="C5" i="134"/>
  <c r="B2" i="134"/>
  <c r="A2" i="134"/>
  <c r="A62" i="133"/>
  <c r="D60" i="133"/>
  <c r="C60" i="133"/>
  <c r="D59" i="133"/>
  <c r="C59" i="133"/>
  <c r="D58" i="133"/>
  <c r="C58" i="133"/>
  <c r="D57" i="133"/>
  <c r="C57" i="133"/>
  <c r="D56" i="133"/>
  <c r="C56" i="133"/>
  <c r="D55" i="133"/>
  <c r="C55" i="133"/>
  <c r="D54" i="133"/>
  <c r="C54" i="133"/>
  <c r="D53" i="133"/>
  <c r="C53" i="133"/>
  <c r="D52" i="133"/>
  <c r="C52" i="133"/>
  <c r="D51" i="133"/>
  <c r="C51" i="133"/>
  <c r="D50" i="133"/>
  <c r="C50" i="133"/>
  <c r="D49" i="133"/>
  <c r="C49" i="133"/>
  <c r="D48" i="133"/>
  <c r="C48" i="133"/>
  <c r="D47" i="133"/>
  <c r="C47" i="133"/>
  <c r="D46" i="133"/>
  <c r="C46" i="133"/>
  <c r="D45" i="133"/>
  <c r="C45" i="133"/>
  <c r="D44" i="133"/>
  <c r="C44" i="133"/>
  <c r="D43" i="133"/>
  <c r="C43" i="133"/>
  <c r="D42" i="133"/>
  <c r="C42" i="133"/>
  <c r="D41" i="133"/>
  <c r="C41" i="133"/>
  <c r="D40" i="133"/>
  <c r="C40" i="133"/>
  <c r="D39" i="133"/>
  <c r="C39" i="133"/>
  <c r="D38" i="133"/>
  <c r="C38" i="133"/>
  <c r="D37" i="133"/>
  <c r="C37" i="133"/>
  <c r="D36" i="133"/>
  <c r="C36" i="133"/>
  <c r="D35" i="133"/>
  <c r="C35" i="133"/>
  <c r="D34" i="133"/>
  <c r="C34" i="133"/>
  <c r="D33" i="133"/>
  <c r="C33" i="133"/>
  <c r="D32" i="133"/>
  <c r="C32" i="133"/>
  <c r="D31" i="133"/>
  <c r="C31" i="133"/>
  <c r="D30" i="133"/>
  <c r="C30" i="133"/>
  <c r="D29" i="133"/>
  <c r="C29" i="133"/>
  <c r="D28" i="133"/>
  <c r="C28" i="133"/>
  <c r="D27" i="133"/>
  <c r="C27" i="133"/>
  <c r="D26" i="133"/>
  <c r="C26" i="133"/>
  <c r="D25" i="133"/>
  <c r="C25" i="133"/>
  <c r="D24" i="133"/>
  <c r="C24" i="133"/>
  <c r="D23" i="133"/>
  <c r="C23" i="133"/>
  <c r="D22" i="133"/>
  <c r="C22" i="133"/>
  <c r="D21" i="133"/>
  <c r="C21" i="133"/>
  <c r="D20" i="133"/>
  <c r="C20" i="133"/>
  <c r="D19" i="133"/>
  <c r="C19" i="133"/>
  <c r="D18" i="133"/>
  <c r="C18" i="133"/>
  <c r="D17" i="133"/>
  <c r="C17" i="133"/>
  <c r="D16" i="133"/>
  <c r="C16" i="133"/>
  <c r="D15" i="133"/>
  <c r="C15" i="133"/>
  <c r="D14" i="133"/>
  <c r="C14" i="133"/>
  <c r="D13" i="133"/>
  <c r="C13" i="133"/>
  <c r="D12" i="133"/>
  <c r="C12" i="133"/>
  <c r="D11" i="133"/>
  <c r="C11" i="133"/>
  <c r="D10" i="133"/>
  <c r="C10" i="133"/>
  <c r="D9" i="133"/>
  <c r="C9" i="133"/>
  <c r="D8" i="133"/>
  <c r="C8" i="133"/>
  <c r="D7" i="133"/>
  <c r="C7" i="133"/>
  <c r="D6" i="133"/>
  <c r="C6" i="133"/>
  <c r="D5" i="133"/>
  <c r="C5" i="133"/>
  <c r="B2" i="133"/>
  <c r="A2" i="133"/>
  <c r="A62" i="132"/>
  <c r="D60" i="132"/>
  <c r="C60" i="132"/>
  <c r="D59" i="132"/>
  <c r="C59" i="132"/>
  <c r="D58" i="132"/>
  <c r="C58" i="132"/>
  <c r="D57" i="132"/>
  <c r="C57" i="132"/>
  <c r="D56" i="132"/>
  <c r="C56" i="132"/>
  <c r="D55" i="132"/>
  <c r="C55" i="132"/>
  <c r="D54" i="132"/>
  <c r="C54" i="132"/>
  <c r="D53" i="132"/>
  <c r="C53" i="132"/>
  <c r="D52" i="132"/>
  <c r="C52" i="132"/>
  <c r="D51" i="132"/>
  <c r="C51" i="132"/>
  <c r="D50" i="132"/>
  <c r="C50" i="132"/>
  <c r="D49" i="132"/>
  <c r="C49" i="132"/>
  <c r="D48" i="132"/>
  <c r="C48" i="132"/>
  <c r="D47" i="132"/>
  <c r="C47" i="132"/>
  <c r="D46" i="132"/>
  <c r="C46" i="132"/>
  <c r="D45" i="132"/>
  <c r="C45" i="132"/>
  <c r="D44" i="132"/>
  <c r="C44" i="132"/>
  <c r="D43" i="132"/>
  <c r="C43" i="132"/>
  <c r="D42" i="132"/>
  <c r="C42" i="132"/>
  <c r="D41" i="132"/>
  <c r="C41" i="132"/>
  <c r="D40" i="132"/>
  <c r="C40" i="132"/>
  <c r="D39" i="132"/>
  <c r="C39" i="132"/>
  <c r="D38" i="132"/>
  <c r="C38" i="132"/>
  <c r="D37" i="132"/>
  <c r="C37" i="132"/>
  <c r="D36" i="132"/>
  <c r="C36" i="132"/>
  <c r="D35" i="132"/>
  <c r="C35" i="132"/>
  <c r="D34" i="132"/>
  <c r="C34" i="132"/>
  <c r="D33" i="132"/>
  <c r="C33" i="132"/>
  <c r="D32" i="132"/>
  <c r="C32" i="132"/>
  <c r="D31" i="132"/>
  <c r="C31" i="132"/>
  <c r="D30" i="132"/>
  <c r="C30" i="132"/>
  <c r="D29" i="132"/>
  <c r="C29" i="132"/>
  <c r="D28" i="132"/>
  <c r="C28" i="132"/>
  <c r="D27" i="132"/>
  <c r="C27" i="132"/>
  <c r="D26" i="132"/>
  <c r="C26" i="132"/>
  <c r="D25" i="132"/>
  <c r="C25" i="132"/>
  <c r="D24" i="132"/>
  <c r="C24" i="132"/>
  <c r="D23" i="132"/>
  <c r="C23" i="132"/>
  <c r="D22" i="132"/>
  <c r="C22" i="132"/>
  <c r="D21" i="132"/>
  <c r="C21" i="132"/>
  <c r="D20" i="132"/>
  <c r="C20" i="132"/>
  <c r="D19" i="132"/>
  <c r="C19" i="132"/>
  <c r="D18" i="132"/>
  <c r="C18" i="132"/>
  <c r="D17" i="132"/>
  <c r="C17" i="132"/>
  <c r="D16" i="132"/>
  <c r="C16" i="132"/>
  <c r="D15" i="132"/>
  <c r="C15" i="132"/>
  <c r="D14" i="132"/>
  <c r="C14" i="132"/>
  <c r="D13" i="132"/>
  <c r="C13" i="132"/>
  <c r="D12" i="132"/>
  <c r="C12" i="132"/>
  <c r="D11" i="132"/>
  <c r="C11" i="132"/>
  <c r="D10" i="132"/>
  <c r="C10" i="132"/>
  <c r="D9" i="132"/>
  <c r="C9" i="132"/>
  <c r="D8" i="132"/>
  <c r="C8" i="132"/>
  <c r="D7" i="132"/>
  <c r="C7" i="132"/>
  <c r="D6" i="132"/>
  <c r="C6" i="132"/>
  <c r="D5" i="132"/>
  <c r="C5" i="132"/>
  <c r="B2" i="132"/>
  <c r="A2" i="132"/>
  <c r="A62" i="131"/>
  <c r="D60" i="131"/>
  <c r="C60" i="131"/>
  <c r="D59" i="131"/>
  <c r="C59" i="131"/>
  <c r="D58" i="131"/>
  <c r="C58" i="131"/>
  <c r="D57" i="131"/>
  <c r="C57" i="131"/>
  <c r="D56" i="131"/>
  <c r="C56" i="131"/>
  <c r="D55" i="131"/>
  <c r="C55" i="131"/>
  <c r="D54" i="131"/>
  <c r="C54" i="131"/>
  <c r="D53" i="131"/>
  <c r="C53" i="131"/>
  <c r="D52" i="131"/>
  <c r="C52" i="131"/>
  <c r="D51" i="131"/>
  <c r="C51" i="131"/>
  <c r="D50" i="131"/>
  <c r="C50" i="131"/>
  <c r="D49" i="131"/>
  <c r="C49" i="131"/>
  <c r="D48" i="131"/>
  <c r="C48" i="131"/>
  <c r="D47" i="131"/>
  <c r="C47" i="131"/>
  <c r="D46" i="131"/>
  <c r="C46" i="131"/>
  <c r="D45" i="131"/>
  <c r="C45" i="131"/>
  <c r="D44" i="131"/>
  <c r="C44" i="131"/>
  <c r="D43" i="131"/>
  <c r="C43" i="131"/>
  <c r="D42" i="131"/>
  <c r="C42" i="131"/>
  <c r="D41" i="131"/>
  <c r="C41" i="131"/>
  <c r="D40" i="131"/>
  <c r="C40" i="131"/>
  <c r="D39" i="131"/>
  <c r="C39" i="131"/>
  <c r="D38" i="131"/>
  <c r="C38" i="131"/>
  <c r="D37" i="131"/>
  <c r="C37" i="131"/>
  <c r="D36" i="131"/>
  <c r="C36" i="131"/>
  <c r="D35" i="131"/>
  <c r="C35" i="131"/>
  <c r="D34" i="131"/>
  <c r="C34" i="131"/>
  <c r="D33" i="131"/>
  <c r="C33" i="131"/>
  <c r="D32" i="131"/>
  <c r="C32" i="131"/>
  <c r="D31" i="131"/>
  <c r="C31" i="131"/>
  <c r="D30" i="131"/>
  <c r="C30" i="131"/>
  <c r="D29" i="131"/>
  <c r="C29" i="131"/>
  <c r="D28" i="131"/>
  <c r="C28" i="131"/>
  <c r="D27" i="131"/>
  <c r="C27" i="131"/>
  <c r="D26" i="131"/>
  <c r="C26" i="131"/>
  <c r="D25" i="131"/>
  <c r="C25" i="131"/>
  <c r="D24" i="131"/>
  <c r="C24" i="131"/>
  <c r="D23" i="131"/>
  <c r="C23" i="131"/>
  <c r="D22" i="131"/>
  <c r="C22" i="131"/>
  <c r="D21" i="131"/>
  <c r="C21" i="131"/>
  <c r="D20" i="131"/>
  <c r="C20" i="131"/>
  <c r="D19" i="131"/>
  <c r="C19" i="131"/>
  <c r="D18" i="131"/>
  <c r="C18" i="131"/>
  <c r="D17" i="131"/>
  <c r="C17" i="131"/>
  <c r="D16" i="131"/>
  <c r="C16" i="131"/>
  <c r="D15" i="131"/>
  <c r="C15" i="131"/>
  <c r="D14" i="131"/>
  <c r="C14" i="131"/>
  <c r="D13" i="131"/>
  <c r="C13" i="131"/>
  <c r="D12" i="131"/>
  <c r="C12" i="131"/>
  <c r="D11" i="131"/>
  <c r="C11" i="131"/>
  <c r="D10" i="131"/>
  <c r="C10" i="131"/>
  <c r="D9" i="131"/>
  <c r="C9" i="131"/>
  <c r="D8" i="131"/>
  <c r="C8" i="131"/>
  <c r="D7" i="131"/>
  <c r="C7" i="131"/>
  <c r="D6" i="131"/>
  <c r="C6" i="131"/>
  <c r="D5" i="131"/>
  <c r="C5" i="131"/>
  <c r="B2" i="131"/>
  <c r="A2" i="131"/>
  <c r="A62" i="130"/>
  <c r="D60" i="130"/>
  <c r="C60" i="130"/>
  <c r="D59" i="130"/>
  <c r="C59" i="130"/>
  <c r="D58" i="130"/>
  <c r="C58" i="130"/>
  <c r="D57" i="130"/>
  <c r="C57" i="130"/>
  <c r="D56" i="130"/>
  <c r="C56" i="130"/>
  <c r="D55" i="130"/>
  <c r="C55" i="130"/>
  <c r="D54" i="130"/>
  <c r="C54" i="130"/>
  <c r="D53" i="130"/>
  <c r="C53" i="130"/>
  <c r="D52" i="130"/>
  <c r="C52" i="130"/>
  <c r="D51" i="130"/>
  <c r="C51" i="130"/>
  <c r="D50" i="130"/>
  <c r="C50" i="130"/>
  <c r="D49" i="130"/>
  <c r="C49" i="130"/>
  <c r="D48" i="130"/>
  <c r="C48" i="130"/>
  <c r="D47" i="130"/>
  <c r="C47" i="130"/>
  <c r="D46" i="130"/>
  <c r="C46" i="130"/>
  <c r="D45" i="130"/>
  <c r="C45" i="130"/>
  <c r="D44" i="130"/>
  <c r="C44" i="130"/>
  <c r="D43" i="130"/>
  <c r="C43" i="130"/>
  <c r="D42" i="130"/>
  <c r="C42" i="130"/>
  <c r="D41" i="130"/>
  <c r="C41" i="130"/>
  <c r="D40" i="130"/>
  <c r="C40" i="130"/>
  <c r="D39" i="130"/>
  <c r="C39" i="130"/>
  <c r="D38" i="130"/>
  <c r="C38" i="130"/>
  <c r="D37" i="130"/>
  <c r="C37" i="130"/>
  <c r="D36" i="130"/>
  <c r="C36" i="130"/>
  <c r="D35" i="130"/>
  <c r="C35" i="130"/>
  <c r="D34" i="130"/>
  <c r="C34" i="130"/>
  <c r="D33" i="130"/>
  <c r="C33" i="130"/>
  <c r="D32" i="130"/>
  <c r="C32" i="130"/>
  <c r="D31" i="130"/>
  <c r="C31" i="130"/>
  <c r="D30" i="130"/>
  <c r="C30" i="130"/>
  <c r="D29" i="130"/>
  <c r="C29" i="130"/>
  <c r="D28" i="130"/>
  <c r="C28" i="130"/>
  <c r="D27" i="130"/>
  <c r="C27" i="130"/>
  <c r="D26" i="130"/>
  <c r="C26" i="130"/>
  <c r="D25" i="130"/>
  <c r="C25" i="130"/>
  <c r="D24" i="130"/>
  <c r="C24" i="130"/>
  <c r="D23" i="130"/>
  <c r="C23" i="130"/>
  <c r="D22" i="130"/>
  <c r="C22" i="130"/>
  <c r="D21" i="130"/>
  <c r="C21" i="130"/>
  <c r="D20" i="130"/>
  <c r="C20" i="130"/>
  <c r="D19" i="130"/>
  <c r="C19" i="130"/>
  <c r="D18" i="130"/>
  <c r="C18" i="130"/>
  <c r="D17" i="130"/>
  <c r="C17" i="130"/>
  <c r="D16" i="130"/>
  <c r="C16" i="130"/>
  <c r="D15" i="130"/>
  <c r="C15" i="130"/>
  <c r="D14" i="130"/>
  <c r="C14" i="130"/>
  <c r="D13" i="130"/>
  <c r="C13" i="130"/>
  <c r="D12" i="130"/>
  <c r="C12" i="130"/>
  <c r="D11" i="130"/>
  <c r="C11" i="130"/>
  <c r="D10" i="130"/>
  <c r="C10" i="130"/>
  <c r="D9" i="130"/>
  <c r="C9" i="130"/>
  <c r="D8" i="130"/>
  <c r="C8" i="130"/>
  <c r="D7" i="130"/>
  <c r="C7" i="130"/>
  <c r="D6" i="130"/>
  <c r="C6" i="130"/>
  <c r="D5" i="130"/>
  <c r="C5" i="130"/>
  <c r="B2" i="130"/>
  <c r="A2" i="130"/>
  <c r="A62" i="129"/>
  <c r="D60" i="129"/>
  <c r="C60" i="129"/>
  <c r="D59" i="129"/>
  <c r="C59" i="129"/>
  <c r="D58" i="129"/>
  <c r="C58" i="129"/>
  <c r="D57" i="129"/>
  <c r="C57" i="129"/>
  <c r="D56" i="129"/>
  <c r="C56" i="129"/>
  <c r="D55" i="129"/>
  <c r="C55" i="129"/>
  <c r="D54" i="129"/>
  <c r="C54" i="129"/>
  <c r="D53" i="129"/>
  <c r="C53" i="129"/>
  <c r="D52" i="129"/>
  <c r="C52" i="129"/>
  <c r="D51" i="129"/>
  <c r="C51" i="129"/>
  <c r="D50" i="129"/>
  <c r="C50" i="129"/>
  <c r="D49" i="129"/>
  <c r="C49" i="129"/>
  <c r="D48" i="129"/>
  <c r="C48" i="129"/>
  <c r="D47" i="129"/>
  <c r="C47" i="129"/>
  <c r="D46" i="129"/>
  <c r="C46" i="129"/>
  <c r="D45" i="129"/>
  <c r="C45" i="129"/>
  <c r="D44" i="129"/>
  <c r="C44" i="129"/>
  <c r="D43" i="129"/>
  <c r="C43" i="129"/>
  <c r="D42" i="129"/>
  <c r="C42" i="129"/>
  <c r="D41" i="129"/>
  <c r="C41" i="129"/>
  <c r="D40" i="129"/>
  <c r="C40" i="129"/>
  <c r="D39" i="129"/>
  <c r="C39" i="129"/>
  <c r="D38" i="129"/>
  <c r="C38" i="129"/>
  <c r="D37" i="129"/>
  <c r="C37" i="129"/>
  <c r="D36" i="129"/>
  <c r="C36" i="129"/>
  <c r="D35" i="129"/>
  <c r="C35" i="129"/>
  <c r="D34" i="129"/>
  <c r="C34" i="129"/>
  <c r="D33" i="129"/>
  <c r="C33" i="129"/>
  <c r="D32" i="129"/>
  <c r="C32" i="129"/>
  <c r="D31" i="129"/>
  <c r="C31" i="129"/>
  <c r="D30" i="129"/>
  <c r="C30" i="129"/>
  <c r="D29" i="129"/>
  <c r="C29" i="129"/>
  <c r="D28" i="129"/>
  <c r="C28" i="129"/>
  <c r="D27" i="129"/>
  <c r="C27" i="129"/>
  <c r="D26" i="129"/>
  <c r="C26" i="129"/>
  <c r="D25" i="129"/>
  <c r="C25" i="129"/>
  <c r="D24" i="129"/>
  <c r="C24" i="129"/>
  <c r="D23" i="129"/>
  <c r="C23" i="129"/>
  <c r="D22" i="129"/>
  <c r="C22" i="129"/>
  <c r="D21" i="129"/>
  <c r="C21" i="129"/>
  <c r="D20" i="129"/>
  <c r="C20" i="129"/>
  <c r="D19" i="129"/>
  <c r="C19" i="129"/>
  <c r="D18" i="129"/>
  <c r="C18" i="129"/>
  <c r="D17" i="129"/>
  <c r="C17" i="129"/>
  <c r="D16" i="129"/>
  <c r="C16" i="129"/>
  <c r="D15" i="129"/>
  <c r="C15" i="129"/>
  <c r="D14" i="129"/>
  <c r="C14" i="129"/>
  <c r="D13" i="129"/>
  <c r="C13" i="129"/>
  <c r="D12" i="129"/>
  <c r="C12" i="129"/>
  <c r="D11" i="129"/>
  <c r="C11" i="129"/>
  <c r="D10" i="129"/>
  <c r="C10" i="129"/>
  <c r="D9" i="129"/>
  <c r="C9" i="129"/>
  <c r="D8" i="129"/>
  <c r="C8" i="129"/>
  <c r="D7" i="129"/>
  <c r="C7" i="129"/>
  <c r="D6" i="129"/>
  <c r="C6" i="129"/>
  <c r="D5" i="129"/>
  <c r="C5" i="129"/>
  <c r="B2" i="129"/>
  <c r="A2" i="129"/>
  <c r="A62" i="128"/>
  <c r="D60" i="128"/>
  <c r="C60" i="128"/>
  <c r="D59" i="128"/>
  <c r="C59" i="128"/>
  <c r="D58" i="128"/>
  <c r="C58" i="128"/>
  <c r="D57" i="128"/>
  <c r="C57" i="128"/>
  <c r="D56" i="128"/>
  <c r="C56" i="128"/>
  <c r="D55" i="128"/>
  <c r="C55" i="128"/>
  <c r="D54" i="128"/>
  <c r="C54" i="128"/>
  <c r="D53" i="128"/>
  <c r="C53" i="128"/>
  <c r="D52" i="128"/>
  <c r="C52" i="128"/>
  <c r="D51" i="128"/>
  <c r="C51" i="128"/>
  <c r="D50" i="128"/>
  <c r="C50" i="128"/>
  <c r="D49" i="128"/>
  <c r="C49" i="128"/>
  <c r="D48" i="128"/>
  <c r="C48" i="128"/>
  <c r="D47" i="128"/>
  <c r="C47" i="128"/>
  <c r="D46" i="128"/>
  <c r="C46" i="128"/>
  <c r="D45" i="128"/>
  <c r="C45" i="128"/>
  <c r="D44" i="128"/>
  <c r="C44" i="128"/>
  <c r="D43" i="128"/>
  <c r="C43" i="128"/>
  <c r="D42" i="128"/>
  <c r="C42" i="128"/>
  <c r="D41" i="128"/>
  <c r="C41" i="128"/>
  <c r="D40" i="128"/>
  <c r="C40" i="128"/>
  <c r="D39" i="128"/>
  <c r="C39" i="128"/>
  <c r="D38" i="128"/>
  <c r="C38" i="128"/>
  <c r="D37" i="128"/>
  <c r="C37" i="128"/>
  <c r="D36" i="128"/>
  <c r="C36" i="128"/>
  <c r="D35" i="128"/>
  <c r="C35" i="128"/>
  <c r="D34" i="128"/>
  <c r="C34" i="128"/>
  <c r="D33" i="128"/>
  <c r="C33" i="128"/>
  <c r="D32" i="128"/>
  <c r="C32" i="128"/>
  <c r="D31" i="128"/>
  <c r="C31" i="128"/>
  <c r="D30" i="128"/>
  <c r="C30" i="128"/>
  <c r="D29" i="128"/>
  <c r="C29" i="128"/>
  <c r="D28" i="128"/>
  <c r="C28" i="128"/>
  <c r="D27" i="128"/>
  <c r="C27" i="128"/>
  <c r="D26" i="128"/>
  <c r="C26" i="128"/>
  <c r="D25" i="128"/>
  <c r="C25" i="128"/>
  <c r="D24" i="128"/>
  <c r="C24" i="128"/>
  <c r="D23" i="128"/>
  <c r="C23" i="128"/>
  <c r="D22" i="128"/>
  <c r="C22" i="128"/>
  <c r="D21" i="128"/>
  <c r="C21" i="128"/>
  <c r="D20" i="128"/>
  <c r="C20" i="128"/>
  <c r="D19" i="128"/>
  <c r="C19" i="128"/>
  <c r="D18" i="128"/>
  <c r="C18" i="128"/>
  <c r="D17" i="128"/>
  <c r="C17" i="128"/>
  <c r="D16" i="128"/>
  <c r="C16" i="128"/>
  <c r="D15" i="128"/>
  <c r="C15" i="128"/>
  <c r="D14" i="128"/>
  <c r="C14" i="128"/>
  <c r="D13" i="128"/>
  <c r="C13" i="128"/>
  <c r="D12" i="128"/>
  <c r="C12" i="128"/>
  <c r="D11" i="128"/>
  <c r="C11" i="128"/>
  <c r="D10" i="128"/>
  <c r="C10" i="128"/>
  <c r="D9" i="128"/>
  <c r="C9" i="128"/>
  <c r="D8" i="128"/>
  <c r="C8" i="128"/>
  <c r="D7" i="128"/>
  <c r="C7" i="128"/>
  <c r="D6" i="128"/>
  <c r="C6" i="128"/>
  <c r="D5" i="128"/>
  <c r="C5" i="128"/>
  <c r="B2" i="128"/>
  <c r="A2" i="128"/>
  <c r="A62" i="127"/>
  <c r="D60" i="127"/>
  <c r="C60" i="127"/>
  <c r="D59" i="127"/>
  <c r="C59" i="127"/>
  <c r="D58" i="127"/>
  <c r="C58" i="127"/>
  <c r="D57" i="127"/>
  <c r="C57" i="127"/>
  <c r="D56" i="127"/>
  <c r="C56" i="127"/>
  <c r="D55" i="127"/>
  <c r="C55" i="127"/>
  <c r="D54" i="127"/>
  <c r="C54" i="127"/>
  <c r="D53" i="127"/>
  <c r="C53" i="127"/>
  <c r="D52" i="127"/>
  <c r="C52" i="127"/>
  <c r="D51" i="127"/>
  <c r="C51" i="127"/>
  <c r="D50" i="127"/>
  <c r="C50" i="127"/>
  <c r="D49" i="127"/>
  <c r="C49" i="127"/>
  <c r="D48" i="127"/>
  <c r="C48" i="127"/>
  <c r="D47" i="127"/>
  <c r="C47" i="127"/>
  <c r="D46" i="127"/>
  <c r="C46" i="127"/>
  <c r="D45" i="127"/>
  <c r="C45" i="127"/>
  <c r="D44" i="127"/>
  <c r="C44" i="127"/>
  <c r="D43" i="127"/>
  <c r="C43" i="127"/>
  <c r="D42" i="127"/>
  <c r="C42" i="127"/>
  <c r="D41" i="127"/>
  <c r="C41" i="127"/>
  <c r="D40" i="127"/>
  <c r="C40" i="127"/>
  <c r="D39" i="127"/>
  <c r="C39" i="127"/>
  <c r="D38" i="127"/>
  <c r="C38" i="127"/>
  <c r="D37" i="127"/>
  <c r="C37" i="127"/>
  <c r="D36" i="127"/>
  <c r="C36" i="127"/>
  <c r="D35" i="127"/>
  <c r="C35" i="127"/>
  <c r="D34" i="127"/>
  <c r="C34" i="127"/>
  <c r="D33" i="127"/>
  <c r="C33" i="127"/>
  <c r="D32" i="127"/>
  <c r="C32" i="127"/>
  <c r="D31" i="127"/>
  <c r="C31" i="127"/>
  <c r="D30" i="127"/>
  <c r="C30" i="127"/>
  <c r="D29" i="127"/>
  <c r="C29" i="127"/>
  <c r="D28" i="127"/>
  <c r="C28" i="127"/>
  <c r="D27" i="127"/>
  <c r="C27" i="127"/>
  <c r="D26" i="127"/>
  <c r="C26" i="127"/>
  <c r="D25" i="127"/>
  <c r="C25" i="127"/>
  <c r="D24" i="127"/>
  <c r="C24" i="127"/>
  <c r="D23" i="127"/>
  <c r="C23" i="127"/>
  <c r="D22" i="127"/>
  <c r="C22" i="127"/>
  <c r="D21" i="127"/>
  <c r="C21" i="127"/>
  <c r="D20" i="127"/>
  <c r="C20" i="127"/>
  <c r="D19" i="127"/>
  <c r="C19" i="127"/>
  <c r="D18" i="127"/>
  <c r="C18" i="127"/>
  <c r="D17" i="127"/>
  <c r="C17" i="127"/>
  <c r="D16" i="127"/>
  <c r="C16" i="127"/>
  <c r="D15" i="127"/>
  <c r="C15" i="127"/>
  <c r="D14" i="127"/>
  <c r="C14" i="127"/>
  <c r="D13" i="127"/>
  <c r="C13" i="127"/>
  <c r="D12" i="127"/>
  <c r="C12" i="127"/>
  <c r="D11" i="127"/>
  <c r="C11" i="127"/>
  <c r="D10" i="127"/>
  <c r="C10" i="127"/>
  <c r="D9" i="127"/>
  <c r="C9" i="127"/>
  <c r="D8" i="127"/>
  <c r="C8" i="127"/>
  <c r="D7" i="127"/>
  <c r="C7" i="127"/>
  <c r="D6" i="127"/>
  <c r="C6" i="127"/>
  <c r="D5" i="127"/>
  <c r="C5" i="127"/>
  <c r="B2" i="127"/>
  <c r="A2" i="127"/>
  <c r="A62" i="126"/>
  <c r="D60" i="126"/>
  <c r="C60" i="126"/>
  <c r="D59" i="126"/>
  <c r="C59" i="126"/>
  <c r="D58" i="126"/>
  <c r="C58" i="126"/>
  <c r="D57" i="126"/>
  <c r="C57" i="126"/>
  <c r="D56" i="126"/>
  <c r="C56" i="126"/>
  <c r="D55" i="126"/>
  <c r="C55" i="126"/>
  <c r="D54" i="126"/>
  <c r="C54" i="126"/>
  <c r="D53" i="126"/>
  <c r="C53" i="126"/>
  <c r="D52" i="126"/>
  <c r="C52" i="126"/>
  <c r="D51" i="126"/>
  <c r="C51" i="126"/>
  <c r="D50" i="126"/>
  <c r="C50" i="126"/>
  <c r="D49" i="126"/>
  <c r="C49" i="126"/>
  <c r="D48" i="126"/>
  <c r="C48" i="126"/>
  <c r="D47" i="126"/>
  <c r="C47" i="126"/>
  <c r="D46" i="126"/>
  <c r="C46" i="126"/>
  <c r="D45" i="126"/>
  <c r="C45" i="126"/>
  <c r="D44" i="126"/>
  <c r="C44" i="126"/>
  <c r="D43" i="126"/>
  <c r="C43" i="126"/>
  <c r="D42" i="126"/>
  <c r="C42" i="126"/>
  <c r="D41" i="126"/>
  <c r="C41" i="126"/>
  <c r="D40" i="126"/>
  <c r="C40" i="126"/>
  <c r="D39" i="126"/>
  <c r="C39" i="126"/>
  <c r="D38" i="126"/>
  <c r="C38" i="126"/>
  <c r="D37" i="126"/>
  <c r="C37" i="126"/>
  <c r="D36" i="126"/>
  <c r="C36" i="126"/>
  <c r="D35" i="126"/>
  <c r="C35" i="126"/>
  <c r="D34" i="126"/>
  <c r="C34" i="126"/>
  <c r="D33" i="126"/>
  <c r="C33" i="126"/>
  <c r="D32" i="126"/>
  <c r="C32" i="126"/>
  <c r="D31" i="126"/>
  <c r="C31" i="126"/>
  <c r="D30" i="126"/>
  <c r="C30" i="126"/>
  <c r="D29" i="126"/>
  <c r="C29" i="126"/>
  <c r="D28" i="126"/>
  <c r="C28" i="126"/>
  <c r="D27" i="126"/>
  <c r="C27" i="126"/>
  <c r="D26" i="126"/>
  <c r="C26" i="126"/>
  <c r="D25" i="126"/>
  <c r="C25" i="126"/>
  <c r="D24" i="126"/>
  <c r="C24" i="126"/>
  <c r="D23" i="126"/>
  <c r="C23" i="126"/>
  <c r="D22" i="126"/>
  <c r="C22" i="126"/>
  <c r="D21" i="126"/>
  <c r="C21" i="126"/>
  <c r="D20" i="126"/>
  <c r="C20" i="126"/>
  <c r="D19" i="126"/>
  <c r="C19" i="126"/>
  <c r="D18" i="126"/>
  <c r="C18" i="126"/>
  <c r="D17" i="126"/>
  <c r="C17" i="126"/>
  <c r="D16" i="126"/>
  <c r="C16" i="126"/>
  <c r="D15" i="126"/>
  <c r="C15" i="126"/>
  <c r="D14" i="126"/>
  <c r="C14" i="126"/>
  <c r="D13" i="126"/>
  <c r="C13" i="126"/>
  <c r="D12" i="126"/>
  <c r="C12" i="126"/>
  <c r="D11" i="126"/>
  <c r="C11" i="126"/>
  <c r="D10" i="126"/>
  <c r="C10" i="126"/>
  <c r="D9" i="126"/>
  <c r="C9" i="126"/>
  <c r="D8" i="126"/>
  <c r="C8" i="126"/>
  <c r="D7" i="126"/>
  <c r="C7" i="126"/>
  <c r="D6" i="126"/>
  <c r="C6" i="126"/>
  <c r="D5" i="126"/>
  <c r="C5" i="126"/>
  <c r="B2" i="126"/>
  <c r="A2" i="126"/>
  <c r="A62" i="125"/>
  <c r="D60" i="125"/>
  <c r="C60" i="125"/>
  <c r="D59" i="125"/>
  <c r="C59" i="125"/>
  <c r="D58" i="125"/>
  <c r="C58" i="125"/>
  <c r="D57" i="125"/>
  <c r="C57" i="125"/>
  <c r="D56" i="125"/>
  <c r="C56" i="125"/>
  <c r="D55" i="125"/>
  <c r="C55" i="125"/>
  <c r="D54" i="125"/>
  <c r="C54" i="125"/>
  <c r="D53" i="125"/>
  <c r="C53" i="125"/>
  <c r="D52" i="125"/>
  <c r="C52" i="125"/>
  <c r="D51" i="125"/>
  <c r="C51" i="125"/>
  <c r="D50" i="125"/>
  <c r="C50" i="125"/>
  <c r="D49" i="125"/>
  <c r="C49" i="125"/>
  <c r="D48" i="125"/>
  <c r="C48" i="125"/>
  <c r="D47" i="125"/>
  <c r="C47" i="125"/>
  <c r="D46" i="125"/>
  <c r="C46" i="125"/>
  <c r="D45" i="125"/>
  <c r="C45" i="125"/>
  <c r="D44" i="125"/>
  <c r="C44" i="125"/>
  <c r="D43" i="125"/>
  <c r="C43" i="125"/>
  <c r="D42" i="125"/>
  <c r="C42" i="125"/>
  <c r="D41" i="125"/>
  <c r="C41" i="125"/>
  <c r="D40" i="125"/>
  <c r="C40" i="125"/>
  <c r="D39" i="125"/>
  <c r="C39" i="125"/>
  <c r="D38" i="125"/>
  <c r="C38" i="125"/>
  <c r="D37" i="125"/>
  <c r="C37" i="125"/>
  <c r="D36" i="125"/>
  <c r="C36" i="125"/>
  <c r="D35" i="125"/>
  <c r="C35" i="125"/>
  <c r="D34" i="125"/>
  <c r="C34" i="125"/>
  <c r="D33" i="125"/>
  <c r="C33" i="125"/>
  <c r="D32" i="125"/>
  <c r="C32" i="125"/>
  <c r="D31" i="125"/>
  <c r="C31" i="125"/>
  <c r="D30" i="125"/>
  <c r="C30" i="125"/>
  <c r="D29" i="125"/>
  <c r="C29" i="125"/>
  <c r="D28" i="125"/>
  <c r="C28" i="125"/>
  <c r="D27" i="125"/>
  <c r="C27" i="125"/>
  <c r="D26" i="125"/>
  <c r="C26" i="125"/>
  <c r="D25" i="125"/>
  <c r="C25" i="125"/>
  <c r="D24" i="125"/>
  <c r="C24" i="125"/>
  <c r="D23" i="125"/>
  <c r="C23" i="125"/>
  <c r="D22" i="125"/>
  <c r="C22" i="125"/>
  <c r="D21" i="125"/>
  <c r="C21" i="125"/>
  <c r="D20" i="125"/>
  <c r="C20" i="125"/>
  <c r="D19" i="125"/>
  <c r="C19" i="125"/>
  <c r="D18" i="125"/>
  <c r="C18" i="125"/>
  <c r="D17" i="125"/>
  <c r="C17" i="125"/>
  <c r="D16" i="125"/>
  <c r="C16" i="125"/>
  <c r="D15" i="125"/>
  <c r="C15" i="125"/>
  <c r="D14" i="125"/>
  <c r="C14" i="125"/>
  <c r="D13" i="125"/>
  <c r="C13" i="125"/>
  <c r="D12" i="125"/>
  <c r="C12" i="125"/>
  <c r="D11" i="125"/>
  <c r="C11" i="125"/>
  <c r="D10" i="125"/>
  <c r="C10" i="125"/>
  <c r="D9" i="125"/>
  <c r="C9" i="125"/>
  <c r="D8" i="125"/>
  <c r="C8" i="125"/>
  <c r="D7" i="125"/>
  <c r="C7" i="125"/>
  <c r="D6" i="125"/>
  <c r="C6" i="125"/>
  <c r="D5" i="125"/>
  <c r="C5" i="125"/>
  <c r="B2" i="125"/>
  <c r="A2" i="125"/>
  <c r="A62" i="124"/>
  <c r="D60" i="124"/>
  <c r="C60" i="124"/>
  <c r="D59" i="124"/>
  <c r="C59" i="124"/>
  <c r="D58" i="124"/>
  <c r="C58" i="124"/>
  <c r="D57" i="124"/>
  <c r="C57" i="124"/>
  <c r="D56" i="124"/>
  <c r="C56" i="124"/>
  <c r="D55" i="124"/>
  <c r="C55" i="124"/>
  <c r="D54" i="124"/>
  <c r="C54" i="124"/>
  <c r="D53" i="124"/>
  <c r="C53" i="124"/>
  <c r="D52" i="124"/>
  <c r="C52" i="124"/>
  <c r="D51" i="124"/>
  <c r="C51" i="124"/>
  <c r="D50" i="124"/>
  <c r="C50" i="124"/>
  <c r="D49" i="124"/>
  <c r="C49" i="124"/>
  <c r="D48" i="124"/>
  <c r="C48" i="124"/>
  <c r="D47" i="124"/>
  <c r="C47" i="124"/>
  <c r="D46" i="124"/>
  <c r="C46" i="124"/>
  <c r="D45" i="124"/>
  <c r="C45" i="124"/>
  <c r="D44" i="124"/>
  <c r="C44" i="124"/>
  <c r="D43" i="124"/>
  <c r="C43" i="124"/>
  <c r="D42" i="124"/>
  <c r="C42" i="124"/>
  <c r="D41" i="124"/>
  <c r="C41" i="124"/>
  <c r="D40" i="124"/>
  <c r="C40" i="124"/>
  <c r="D39" i="124"/>
  <c r="C39" i="124"/>
  <c r="D38" i="124"/>
  <c r="C38" i="124"/>
  <c r="D37" i="124"/>
  <c r="C37" i="124"/>
  <c r="D36" i="124"/>
  <c r="C36" i="124"/>
  <c r="D35" i="124"/>
  <c r="C35" i="124"/>
  <c r="D34" i="124"/>
  <c r="C34" i="124"/>
  <c r="D33" i="124"/>
  <c r="C33" i="124"/>
  <c r="D32" i="124"/>
  <c r="C32" i="124"/>
  <c r="D31" i="124"/>
  <c r="C31" i="124"/>
  <c r="D30" i="124"/>
  <c r="C30" i="124"/>
  <c r="D29" i="124"/>
  <c r="C29" i="124"/>
  <c r="D28" i="124"/>
  <c r="C28" i="124"/>
  <c r="D27" i="124"/>
  <c r="C27" i="124"/>
  <c r="D26" i="124"/>
  <c r="C26" i="124"/>
  <c r="D25" i="124"/>
  <c r="C25" i="124"/>
  <c r="D24" i="124"/>
  <c r="C24" i="124"/>
  <c r="D23" i="124"/>
  <c r="C23" i="124"/>
  <c r="D22" i="124"/>
  <c r="C22" i="124"/>
  <c r="D21" i="124"/>
  <c r="C21" i="124"/>
  <c r="D20" i="124"/>
  <c r="C20" i="124"/>
  <c r="D19" i="124"/>
  <c r="C19" i="124"/>
  <c r="D18" i="124"/>
  <c r="C18" i="124"/>
  <c r="D17" i="124"/>
  <c r="C17" i="124"/>
  <c r="D16" i="124"/>
  <c r="C16" i="124"/>
  <c r="D15" i="124"/>
  <c r="C15" i="124"/>
  <c r="D14" i="124"/>
  <c r="C14" i="124"/>
  <c r="D13" i="124"/>
  <c r="C13" i="124"/>
  <c r="D12" i="124"/>
  <c r="C12" i="124"/>
  <c r="D11" i="124"/>
  <c r="C11" i="124"/>
  <c r="D10" i="124"/>
  <c r="C10" i="124"/>
  <c r="D9" i="124"/>
  <c r="C9" i="124"/>
  <c r="D8" i="124"/>
  <c r="C8" i="124"/>
  <c r="D7" i="124"/>
  <c r="C7" i="124"/>
  <c r="D6" i="124"/>
  <c r="C6" i="124"/>
  <c r="D5" i="124"/>
  <c r="C5" i="124"/>
  <c r="B2" i="124"/>
  <c r="A2" i="124"/>
  <c r="A62" i="123"/>
  <c r="D60" i="123"/>
  <c r="C60" i="123"/>
  <c r="D59" i="123"/>
  <c r="C59" i="123"/>
  <c r="D58" i="123"/>
  <c r="C58" i="123"/>
  <c r="D57" i="123"/>
  <c r="C57" i="123"/>
  <c r="D56" i="123"/>
  <c r="C56" i="123"/>
  <c r="D55" i="123"/>
  <c r="C55" i="123"/>
  <c r="D54" i="123"/>
  <c r="C54" i="123"/>
  <c r="D53" i="123"/>
  <c r="C53" i="123"/>
  <c r="D52" i="123"/>
  <c r="C52" i="123"/>
  <c r="D51" i="123"/>
  <c r="C51" i="123"/>
  <c r="D50" i="123"/>
  <c r="C50" i="123"/>
  <c r="D49" i="123"/>
  <c r="C49" i="123"/>
  <c r="D48" i="123"/>
  <c r="C48" i="123"/>
  <c r="D47" i="123"/>
  <c r="C47" i="123"/>
  <c r="D46" i="123"/>
  <c r="C46" i="123"/>
  <c r="D45" i="123"/>
  <c r="C45" i="123"/>
  <c r="D44" i="123"/>
  <c r="C44" i="123"/>
  <c r="D43" i="123"/>
  <c r="C43" i="123"/>
  <c r="D42" i="123"/>
  <c r="C42" i="123"/>
  <c r="D41" i="123"/>
  <c r="C41" i="123"/>
  <c r="D40" i="123"/>
  <c r="C40" i="123"/>
  <c r="D39" i="123"/>
  <c r="C39" i="123"/>
  <c r="D38" i="123"/>
  <c r="C38" i="123"/>
  <c r="D37" i="123"/>
  <c r="C37" i="123"/>
  <c r="D36" i="123"/>
  <c r="C36" i="123"/>
  <c r="D35" i="123"/>
  <c r="C35" i="123"/>
  <c r="D34" i="123"/>
  <c r="C34" i="123"/>
  <c r="D33" i="123"/>
  <c r="C33" i="123"/>
  <c r="D32" i="123"/>
  <c r="C32" i="123"/>
  <c r="D31" i="123"/>
  <c r="C31" i="123"/>
  <c r="D30" i="123"/>
  <c r="C30" i="123"/>
  <c r="D29" i="123"/>
  <c r="C29" i="123"/>
  <c r="D28" i="123"/>
  <c r="C28" i="123"/>
  <c r="D27" i="123"/>
  <c r="C27" i="123"/>
  <c r="D26" i="123"/>
  <c r="C26" i="123"/>
  <c r="D25" i="123"/>
  <c r="C25" i="123"/>
  <c r="D24" i="123"/>
  <c r="C24" i="123"/>
  <c r="D23" i="123"/>
  <c r="C23" i="123"/>
  <c r="D22" i="123"/>
  <c r="C22" i="123"/>
  <c r="D21" i="123"/>
  <c r="C21" i="123"/>
  <c r="D20" i="123"/>
  <c r="C20" i="123"/>
  <c r="D19" i="123"/>
  <c r="C19" i="123"/>
  <c r="D18" i="123"/>
  <c r="C18" i="123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D8" i="123"/>
  <c r="C8" i="123"/>
  <c r="D7" i="123"/>
  <c r="C7" i="123"/>
  <c r="D6" i="123"/>
  <c r="C6" i="123"/>
  <c r="D5" i="123"/>
  <c r="C5" i="123"/>
  <c r="B2" i="123"/>
  <c r="A2" i="123"/>
  <c r="A62" i="122"/>
  <c r="D60" i="122"/>
  <c r="C60" i="122"/>
  <c r="D59" i="122"/>
  <c r="C59" i="122"/>
  <c r="D58" i="122"/>
  <c r="C58" i="122"/>
  <c r="D57" i="122"/>
  <c r="C57" i="122"/>
  <c r="D56" i="122"/>
  <c r="C56" i="122"/>
  <c r="D55" i="122"/>
  <c r="C55" i="122"/>
  <c r="D54" i="122"/>
  <c r="C54" i="122"/>
  <c r="D53" i="122"/>
  <c r="C53" i="122"/>
  <c r="D52" i="122"/>
  <c r="C52" i="122"/>
  <c r="D51" i="122"/>
  <c r="C51" i="122"/>
  <c r="D50" i="122"/>
  <c r="C50" i="122"/>
  <c r="D49" i="122"/>
  <c r="C49" i="122"/>
  <c r="D48" i="122"/>
  <c r="C48" i="122"/>
  <c r="D47" i="122"/>
  <c r="C47" i="122"/>
  <c r="D46" i="122"/>
  <c r="C46" i="122"/>
  <c r="D45" i="122"/>
  <c r="C45" i="122"/>
  <c r="D44" i="122"/>
  <c r="C44" i="122"/>
  <c r="D43" i="122"/>
  <c r="C43" i="122"/>
  <c r="D42" i="122"/>
  <c r="C42" i="122"/>
  <c r="D41" i="122"/>
  <c r="C41" i="122"/>
  <c r="D40" i="122"/>
  <c r="C40" i="122"/>
  <c r="D39" i="122"/>
  <c r="C39" i="122"/>
  <c r="D38" i="122"/>
  <c r="C38" i="122"/>
  <c r="D37" i="122"/>
  <c r="C37" i="122"/>
  <c r="D36" i="122"/>
  <c r="C36" i="122"/>
  <c r="D35" i="122"/>
  <c r="C35" i="122"/>
  <c r="D34" i="122"/>
  <c r="C34" i="122"/>
  <c r="D33" i="122"/>
  <c r="C33" i="122"/>
  <c r="D32" i="122"/>
  <c r="C32" i="122"/>
  <c r="D31" i="122"/>
  <c r="C31" i="122"/>
  <c r="D30" i="122"/>
  <c r="C30" i="122"/>
  <c r="D29" i="122"/>
  <c r="C29" i="122"/>
  <c r="D28" i="122"/>
  <c r="C28" i="122"/>
  <c r="D27" i="122"/>
  <c r="C27" i="122"/>
  <c r="D26" i="122"/>
  <c r="C26" i="122"/>
  <c r="D25" i="122"/>
  <c r="C25" i="122"/>
  <c r="D24" i="122"/>
  <c r="C24" i="122"/>
  <c r="D23" i="122"/>
  <c r="C23" i="122"/>
  <c r="D22" i="122"/>
  <c r="C22" i="122"/>
  <c r="D21" i="122"/>
  <c r="C21" i="122"/>
  <c r="D20" i="122"/>
  <c r="C20" i="122"/>
  <c r="D19" i="122"/>
  <c r="C19" i="122"/>
  <c r="D18" i="122"/>
  <c r="C18" i="122"/>
  <c r="D17" i="122"/>
  <c r="C17" i="122"/>
  <c r="D16" i="122"/>
  <c r="C16" i="122"/>
  <c r="D15" i="122"/>
  <c r="C15" i="122"/>
  <c r="D14" i="122"/>
  <c r="C14" i="122"/>
  <c r="D13" i="122"/>
  <c r="C13" i="122"/>
  <c r="D12" i="122"/>
  <c r="C12" i="122"/>
  <c r="D11" i="122"/>
  <c r="C11" i="122"/>
  <c r="D10" i="122"/>
  <c r="C10" i="122"/>
  <c r="D9" i="122"/>
  <c r="C9" i="122"/>
  <c r="D8" i="122"/>
  <c r="C8" i="122"/>
  <c r="D7" i="122"/>
  <c r="C7" i="122"/>
  <c r="D6" i="122"/>
  <c r="C6" i="122"/>
  <c r="D5" i="122"/>
  <c r="C5" i="122"/>
  <c r="B2" i="122"/>
  <c r="A2" i="122"/>
  <c r="A62" i="121"/>
  <c r="D60" i="121"/>
  <c r="C60" i="121"/>
  <c r="D59" i="121"/>
  <c r="C59" i="121"/>
  <c r="D58" i="121"/>
  <c r="C58" i="121"/>
  <c r="D57" i="121"/>
  <c r="C57" i="121"/>
  <c r="D56" i="121"/>
  <c r="C56" i="121"/>
  <c r="D55" i="121"/>
  <c r="C55" i="121"/>
  <c r="D54" i="121"/>
  <c r="C54" i="121"/>
  <c r="D53" i="121"/>
  <c r="C53" i="121"/>
  <c r="D52" i="121"/>
  <c r="C52" i="121"/>
  <c r="D51" i="121"/>
  <c r="C51" i="121"/>
  <c r="D50" i="121"/>
  <c r="C50" i="121"/>
  <c r="D49" i="121"/>
  <c r="C49" i="121"/>
  <c r="D48" i="121"/>
  <c r="C48" i="121"/>
  <c r="D47" i="121"/>
  <c r="C47" i="121"/>
  <c r="D46" i="121"/>
  <c r="C46" i="121"/>
  <c r="D45" i="121"/>
  <c r="C45" i="121"/>
  <c r="D44" i="121"/>
  <c r="C44" i="121"/>
  <c r="D43" i="121"/>
  <c r="C43" i="121"/>
  <c r="D42" i="121"/>
  <c r="C42" i="121"/>
  <c r="D41" i="121"/>
  <c r="C41" i="121"/>
  <c r="D40" i="121"/>
  <c r="C40" i="121"/>
  <c r="D39" i="121"/>
  <c r="C39" i="121"/>
  <c r="D38" i="121"/>
  <c r="C38" i="121"/>
  <c r="D37" i="121"/>
  <c r="C37" i="121"/>
  <c r="D36" i="121"/>
  <c r="C36" i="121"/>
  <c r="D35" i="121"/>
  <c r="C35" i="121"/>
  <c r="D34" i="121"/>
  <c r="C34" i="121"/>
  <c r="D33" i="121"/>
  <c r="C33" i="121"/>
  <c r="D32" i="121"/>
  <c r="C32" i="121"/>
  <c r="D31" i="121"/>
  <c r="C31" i="121"/>
  <c r="D30" i="121"/>
  <c r="C30" i="121"/>
  <c r="D29" i="121"/>
  <c r="C29" i="121"/>
  <c r="D28" i="121"/>
  <c r="C28" i="121"/>
  <c r="D27" i="121"/>
  <c r="C27" i="121"/>
  <c r="D26" i="121"/>
  <c r="C26" i="121"/>
  <c r="D25" i="121"/>
  <c r="C25" i="121"/>
  <c r="D24" i="121"/>
  <c r="C24" i="121"/>
  <c r="D23" i="121"/>
  <c r="C23" i="121"/>
  <c r="D22" i="121"/>
  <c r="C22" i="121"/>
  <c r="D21" i="121"/>
  <c r="C21" i="121"/>
  <c r="D20" i="121"/>
  <c r="C20" i="121"/>
  <c r="D19" i="121"/>
  <c r="C19" i="121"/>
  <c r="D18" i="121"/>
  <c r="C18" i="121"/>
  <c r="D17" i="121"/>
  <c r="C17" i="121"/>
  <c r="D16" i="121"/>
  <c r="C16" i="121"/>
  <c r="D15" i="121"/>
  <c r="C15" i="121"/>
  <c r="D14" i="121"/>
  <c r="C14" i="121"/>
  <c r="D13" i="121"/>
  <c r="C13" i="121"/>
  <c r="D12" i="121"/>
  <c r="C12" i="121"/>
  <c r="D11" i="121"/>
  <c r="C11" i="121"/>
  <c r="D10" i="121"/>
  <c r="C10" i="121"/>
  <c r="D9" i="121"/>
  <c r="C9" i="121"/>
  <c r="D8" i="121"/>
  <c r="C8" i="121"/>
  <c r="D7" i="121"/>
  <c r="C7" i="121"/>
  <c r="D6" i="121"/>
  <c r="C6" i="121"/>
  <c r="D5" i="121"/>
  <c r="C5" i="121"/>
  <c r="B2" i="121"/>
  <c r="A2" i="121"/>
  <c r="A62" i="120"/>
  <c r="D60" i="120"/>
  <c r="C60" i="120"/>
  <c r="D59" i="120"/>
  <c r="C59" i="120"/>
  <c r="D58" i="120"/>
  <c r="C58" i="120"/>
  <c r="D57" i="120"/>
  <c r="C57" i="120"/>
  <c r="D56" i="120"/>
  <c r="C56" i="120"/>
  <c r="D55" i="120"/>
  <c r="C55" i="120"/>
  <c r="D54" i="120"/>
  <c r="C54" i="120"/>
  <c r="D53" i="120"/>
  <c r="C53" i="120"/>
  <c r="D52" i="120"/>
  <c r="C52" i="120"/>
  <c r="D51" i="120"/>
  <c r="C51" i="120"/>
  <c r="D50" i="120"/>
  <c r="C50" i="120"/>
  <c r="D49" i="120"/>
  <c r="C49" i="120"/>
  <c r="D48" i="120"/>
  <c r="C48" i="120"/>
  <c r="D47" i="120"/>
  <c r="C47" i="120"/>
  <c r="D46" i="120"/>
  <c r="C46" i="120"/>
  <c r="D45" i="120"/>
  <c r="C45" i="120"/>
  <c r="D44" i="120"/>
  <c r="C44" i="120"/>
  <c r="D43" i="120"/>
  <c r="C43" i="120"/>
  <c r="D42" i="120"/>
  <c r="C42" i="120"/>
  <c r="D41" i="120"/>
  <c r="C41" i="120"/>
  <c r="D40" i="120"/>
  <c r="C40" i="120"/>
  <c r="D39" i="120"/>
  <c r="C39" i="120"/>
  <c r="D38" i="120"/>
  <c r="C38" i="120"/>
  <c r="D37" i="120"/>
  <c r="C37" i="120"/>
  <c r="D36" i="120"/>
  <c r="C36" i="120"/>
  <c r="D35" i="120"/>
  <c r="C35" i="120"/>
  <c r="D34" i="120"/>
  <c r="C34" i="120"/>
  <c r="D33" i="120"/>
  <c r="C33" i="120"/>
  <c r="D32" i="120"/>
  <c r="C32" i="120"/>
  <c r="D31" i="120"/>
  <c r="C31" i="120"/>
  <c r="D30" i="120"/>
  <c r="C30" i="120"/>
  <c r="D29" i="120"/>
  <c r="C29" i="120"/>
  <c r="D28" i="120"/>
  <c r="C28" i="120"/>
  <c r="D27" i="120"/>
  <c r="C27" i="120"/>
  <c r="D26" i="120"/>
  <c r="C26" i="120"/>
  <c r="D25" i="120"/>
  <c r="C25" i="120"/>
  <c r="D24" i="120"/>
  <c r="C24" i="120"/>
  <c r="D23" i="120"/>
  <c r="C23" i="120"/>
  <c r="D22" i="120"/>
  <c r="C22" i="120"/>
  <c r="D21" i="120"/>
  <c r="C21" i="120"/>
  <c r="D20" i="120"/>
  <c r="C20" i="120"/>
  <c r="D19" i="120"/>
  <c r="C19" i="120"/>
  <c r="D18" i="120"/>
  <c r="C18" i="120"/>
  <c r="D17" i="120"/>
  <c r="C17" i="120"/>
  <c r="D16" i="120"/>
  <c r="C16" i="120"/>
  <c r="D15" i="120"/>
  <c r="C15" i="120"/>
  <c r="D14" i="120"/>
  <c r="C14" i="120"/>
  <c r="D13" i="120"/>
  <c r="C13" i="120"/>
  <c r="D12" i="120"/>
  <c r="C12" i="120"/>
  <c r="D11" i="120"/>
  <c r="C11" i="120"/>
  <c r="D10" i="120"/>
  <c r="C10" i="120"/>
  <c r="D9" i="120"/>
  <c r="C9" i="120"/>
  <c r="D8" i="120"/>
  <c r="C8" i="120"/>
  <c r="D7" i="120"/>
  <c r="C7" i="120"/>
  <c r="D6" i="120"/>
  <c r="C6" i="120"/>
  <c r="D5" i="120"/>
  <c r="C5" i="120"/>
  <c r="B2" i="120"/>
  <c r="A2" i="120"/>
  <c r="A62" i="119"/>
  <c r="D60" i="119"/>
  <c r="C60" i="119"/>
  <c r="D59" i="119"/>
  <c r="C59" i="119"/>
  <c r="D58" i="119"/>
  <c r="C58" i="119"/>
  <c r="D57" i="119"/>
  <c r="C57" i="119"/>
  <c r="D56" i="119"/>
  <c r="C56" i="119"/>
  <c r="D55" i="119"/>
  <c r="C55" i="119"/>
  <c r="D54" i="119"/>
  <c r="C54" i="119"/>
  <c r="D53" i="119"/>
  <c r="C53" i="119"/>
  <c r="D52" i="119"/>
  <c r="C52" i="119"/>
  <c r="D51" i="119"/>
  <c r="C51" i="119"/>
  <c r="D50" i="119"/>
  <c r="C50" i="119"/>
  <c r="D49" i="119"/>
  <c r="C49" i="119"/>
  <c r="D48" i="119"/>
  <c r="C48" i="119"/>
  <c r="D47" i="119"/>
  <c r="C47" i="119"/>
  <c r="D46" i="119"/>
  <c r="C46" i="119"/>
  <c r="D45" i="119"/>
  <c r="C45" i="119"/>
  <c r="D44" i="119"/>
  <c r="C44" i="119"/>
  <c r="D43" i="119"/>
  <c r="C43" i="119"/>
  <c r="D42" i="119"/>
  <c r="C42" i="119"/>
  <c r="D41" i="119"/>
  <c r="C41" i="119"/>
  <c r="D40" i="119"/>
  <c r="C40" i="119"/>
  <c r="D39" i="119"/>
  <c r="C39" i="119"/>
  <c r="D38" i="119"/>
  <c r="C38" i="119"/>
  <c r="D37" i="119"/>
  <c r="C37" i="119"/>
  <c r="D36" i="119"/>
  <c r="C36" i="119"/>
  <c r="D35" i="119"/>
  <c r="C35" i="119"/>
  <c r="D34" i="119"/>
  <c r="C34" i="119"/>
  <c r="D33" i="119"/>
  <c r="C33" i="119"/>
  <c r="D32" i="119"/>
  <c r="C32" i="119"/>
  <c r="D31" i="119"/>
  <c r="C31" i="119"/>
  <c r="D30" i="119"/>
  <c r="C30" i="119"/>
  <c r="D29" i="119"/>
  <c r="C29" i="119"/>
  <c r="D28" i="119"/>
  <c r="C28" i="119"/>
  <c r="D27" i="119"/>
  <c r="C27" i="119"/>
  <c r="D26" i="119"/>
  <c r="C26" i="119"/>
  <c r="D25" i="119"/>
  <c r="C25" i="119"/>
  <c r="D24" i="119"/>
  <c r="C24" i="119"/>
  <c r="D23" i="119"/>
  <c r="C23" i="119"/>
  <c r="D22" i="119"/>
  <c r="C22" i="119"/>
  <c r="D21" i="119"/>
  <c r="C21" i="119"/>
  <c r="D20" i="119"/>
  <c r="C20" i="119"/>
  <c r="D19" i="119"/>
  <c r="C19" i="119"/>
  <c r="D18" i="119"/>
  <c r="C18" i="119"/>
  <c r="D17" i="119"/>
  <c r="C17" i="119"/>
  <c r="D16" i="119"/>
  <c r="C16" i="119"/>
  <c r="D15" i="119"/>
  <c r="C15" i="119"/>
  <c r="D14" i="119"/>
  <c r="C14" i="119"/>
  <c r="D13" i="119"/>
  <c r="C13" i="119"/>
  <c r="D12" i="119"/>
  <c r="C12" i="119"/>
  <c r="D11" i="119"/>
  <c r="C11" i="119"/>
  <c r="D10" i="119"/>
  <c r="C10" i="119"/>
  <c r="D9" i="119"/>
  <c r="C9" i="119"/>
  <c r="D8" i="119"/>
  <c r="C8" i="119"/>
  <c r="D7" i="119"/>
  <c r="C7" i="119"/>
  <c r="D6" i="119"/>
  <c r="C6" i="119"/>
  <c r="D5" i="119"/>
  <c r="C5" i="119"/>
  <c r="B2" i="119"/>
  <c r="A2" i="119"/>
  <c r="A62" i="118"/>
  <c r="D60" i="118"/>
  <c r="C60" i="118"/>
  <c r="D59" i="118"/>
  <c r="C59" i="118"/>
  <c r="D58" i="118"/>
  <c r="C58" i="118"/>
  <c r="D57" i="118"/>
  <c r="C57" i="118"/>
  <c r="D56" i="118"/>
  <c r="C56" i="118"/>
  <c r="D55" i="118"/>
  <c r="C55" i="118"/>
  <c r="D54" i="118"/>
  <c r="C54" i="118"/>
  <c r="D53" i="118"/>
  <c r="C53" i="118"/>
  <c r="D52" i="118"/>
  <c r="C52" i="118"/>
  <c r="D51" i="118"/>
  <c r="C51" i="118"/>
  <c r="D50" i="118"/>
  <c r="C50" i="118"/>
  <c r="D49" i="118"/>
  <c r="C49" i="118"/>
  <c r="D48" i="118"/>
  <c r="C48" i="118"/>
  <c r="D47" i="118"/>
  <c r="C47" i="118"/>
  <c r="D46" i="118"/>
  <c r="C46" i="118"/>
  <c r="D45" i="118"/>
  <c r="C45" i="118"/>
  <c r="D44" i="118"/>
  <c r="C44" i="118"/>
  <c r="D43" i="118"/>
  <c r="C43" i="118"/>
  <c r="D42" i="118"/>
  <c r="C42" i="118"/>
  <c r="D41" i="118"/>
  <c r="C41" i="118"/>
  <c r="D40" i="118"/>
  <c r="C40" i="118"/>
  <c r="D39" i="118"/>
  <c r="C39" i="118"/>
  <c r="D38" i="118"/>
  <c r="C38" i="118"/>
  <c r="D37" i="118"/>
  <c r="C37" i="118"/>
  <c r="D36" i="118"/>
  <c r="C36" i="118"/>
  <c r="D35" i="118"/>
  <c r="C35" i="118"/>
  <c r="D34" i="118"/>
  <c r="C34" i="118"/>
  <c r="D33" i="118"/>
  <c r="C33" i="118"/>
  <c r="D32" i="118"/>
  <c r="C32" i="118"/>
  <c r="D31" i="118"/>
  <c r="C31" i="118"/>
  <c r="D30" i="118"/>
  <c r="C30" i="118"/>
  <c r="D29" i="118"/>
  <c r="C29" i="118"/>
  <c r="D28" i="118"/>
  <c r="C28" i="118"/>
  <c r="D27" i="118"/>
  <c r="C27" i="118"/>
  <c r="D26" i="118"/>
  <c r="C26" i="118"/>
  <c r="D25" i="118"/>
  <c r="C25" i="118"/>
  <c r="D24" i="118"/>
  <c r="C24" i="118"/>
  <c r="D23" i="118"/>
  <c r="C23" i="118"/>
  <c r="D22" i="118"/>
  <c r="C22" i="118"/>
  <c r="D21" i="118"/>
  <c r="C21" i="118"/>
  <c r="D20" i="118"/>
  <c r="C20" i="118"/>
  <c r="D19" i="118"/>
  <c r="C19" i="118"/>
  <c r="D18" i="118"/>
  <c r="C18" i="118"/>
  <c r="D17" i="118"/>
  <c r="C17" i="118"/>
  <c r="D16" i="118"/>
  <c r="C16" i="118"/>
  <c r="D15" i="118"/>
  <c r="C15" i="118"/>
  <c r="D14" i="118"/>
  <c r="C14" i="118"/>
  <c r="D13" i="118"/>
  <c r="C13" i="118"/>
  <c r="D12" i="118"/>
  <c r="C12" i="118"/>
  <c r="D11" i="118"/>
  <c r="C11" i="118"/>
  <c r="D10" i="118"/>
  <c r="C10" i="118"/>
  <c r="D9" i="118"/>
  <c r="C9" i="118"/>
  <c r="D8" i="118"/>
  <c r="C8" i="118"/>
  <c r="D7" i="118"/>
  <c r="C7" i="118"/>
  <c r="D6" i="118"/>
  <c r="C6" i="118"/>
  <c r="D5" i="118"/>
  <c r="C5" i="118"/>
  <c r="B2" i="118"/>
  <c r="A2" i="118"/>
  <c r="A62" i="117"/>
  <c r="D60" i="117"/>
  <c r="C60" i="117"/>
  <c r="D59" i="117"/>
  <c r="C59" i="117"/>
  <c r="D58" i="117"/>
  <c r="C58" i="117"/>
  <c r="D57" i="117"/>
  <c r="C57" i="117"/>
  <c r="D56" i="117"/>
  <c r="C56" i="117"/>
  <c r="D55" i="117"/>
  <c r="C55" i="117"/>
  <c r="D54" i="117"/>
  <c r="C54" i="117"/>
  <c r="D53" i="117"/>
  <c r="C53" i="117"/>
  <c r="D52" i="117"/>
  <c r="C52" i="117"/>
  <c r="D51" i="117"/>
  <c r="C51" i="117"/>
  <c r="D50" i="117"/>
  <c r="C50" i="117"/>
  <c r="D49" i="117"/>
  <c r="C49" i="117"/>
  <c r="D48" i="117"/>
  <c r="C48" i="117"/>
  <c r="D47" i="117"/>
  <c r="C47" i="117"/>
  <c r="D46" i="117"/>
  <c r="C46" i="117"/>
  <c r="D45" i="117"/>
  <c r="C45" i="117"/>
  <c r="D44" i="117"/>
  <c r="C44" i="117"/>
  <c r="D43" i="117"/>
  <c r="C43" i="117"/>
  <c r="D42" i="117"/>
  <c r="C42" i="117"/>
  <c r="D41" i="117"/>
  <c r="C41" i="117"/>
  <c r="D40" i="117"/>
  <c r="C40" i="117"/>
  <c r="D39" i="117"/>
  <c r="C39" i="117"/>
  <c r="D38" i="117"/>
  <c r="C38" i="117"/>
  <c r="D37" i="117"/>
  <c r="C37" i="117"/>
  <c r="D36" i="117"/>
  <c r="C36" i="117"/>
  <c r="D35" i="117"/>
  <c r="C35" i="117"/>
  <c r="D34" i="117"/>
  <c r="C34" i="117"/>
  <c r="D33" i="117"/>
  <c r="C33" i="117"/>
  <c r="D32" i="117"/>
  <c r="C32" i="117"/>
  <c r="D31" i="117"/>
  <c r="C31" i="117"/>
  <c r="D30" i="117"/>
  <c r="C30" i="117"/>
  <c r="D29" i="117"/>
  <c r="C29" i="117"/>
  <c r="D28" i="117"/>
  <c r="C28" i="117"/>
  <c r="D27" i="117"/>
  <c r="C27" i="117"/>
  <c r="D26" i="117"/>
  <c r="C26" i="117"/>
  <c r="D25" i="117"/>
  <c r="C25" i="117"/>
  <c r="D24" i="117"/>
  <c r="C24" i="117"/>
  <c r="D23" i="117"/>
  <c r="C23" i="117"/>
  <c r="D22" i="117"/>
  <c r="C22" i="117"/>
  <c r="D21" i="117"/>
  <c r="C21" i="117"/>
  <c r="D20" i="117"/>
  <c r="C20" i="117"/>
  <c r="D19" i="117"/>
  <c r="C19" i="117"/>
  <c r="D18" i="117"/>
  <c r="C18" i="117"/>
  <c r="D17" i="117"/>
  <c r="C17" i="117"/>
  <c r="D16" i="117"/>
  <c r="C16" i="117"/>
  <c r="D15" i="117"/>
  <c r="C15" i="117"/>
  <c r="D14" i="117"/>
  <c r="C14" i="117"/>
  <c r="D13" i="117"/>
  <c r="C13" i="117"/>
  <c r="D12" i="117"/>
  <c r="C12" i="117"/>
  <c r="D11" i="117"/>
  <c r="C11" i="117"/>
  <c r="D10" i="117"/>
  <c r="C10" i="117"/>
  <c r="D9" i="117"/>
  <c r="C9" i="117"/>
  <c r="D8" i="117"/>
  <c r="C8" i="117"/>
  <c r="D7" i="117"/>
  <c r="C7" i="117"/>
  <c r="D6" i="117"/>
  <c r="C6" i="117"/>
  <c r="D5" i="117"/>
  <c r="C5" i="117"/>
  <c r="B2" i="117"/>
  <c r="A2" i="117"/>
  <c r="A62" i="116"/>
  <c r="D60" i="116"/>
  <c r="C60" i="116"/>
  <c r="D59" i="116"/>
  <c r="C59" i="116"/>
  <c r="D58" i="116"/>
  <c r="C58" i="116"/>
  <c r="D57" i="116"/>
  <c r="C57" i="116"/>
  <c r="D56" i="116"/>
  <c r="C56" i="116"/>
  <c r="D55" i="116"/>
  <c r="C55" i="116"/>
  <c r="D54" i="116"/>
  <c r="C54" i="116"/>
  <c r="D53" i="116"/>
  <c r="C53" i="116"/>
  <c r="D52" i="116"/>
  <c r="C52" i="116"/>
  <c r="D51" i="116"/>
  <c r="C51" i="116"/>
  <c r="D50" i="116"/>
  <c r="C50" i="116"/>
  <c r="D49" i="116"/>
  <c r="C49" i="116"/>
  <c r="D48" i="116"/>
  <c r="C48" i="116"/>
  <c r="D47" i="116"/>
  <c r="C47" i="116"/>
  <c r="D46" i="116"/>
  <c r="C46" i="116"/>
  <c r="D45" i="116"/>
  <c r="C45" i="116"/>
  <c r="D44" i="116"/>
  <c r="C44" i="116"/>
  <c r="D43" i="116"/>
  <c r="C43" i="116"/>
  <c r="D42" i="116"/>
  <c r="C42" i="116"/>
  <c r="D41" i="116"/>
  <c r="C41" i="116"/>
  <c r="D40" i="116"/>
  <c r="C40" i="116"/>
  <c r="D39" i="116"/>
  <c r="C39" i="116"/>
  <c r="D38" i="116"/>
  <c r="C38" i="116"/>
  <c r="D37" i="116"/>
  <c r="C37" i="116"/>
  <c r="D36" i="116"/>
  <c r="C36" i="116"/>
  <c r="D35" i="116"/>
  <c r="C35" i="116"/>
  <c r="D34" i="116"/>
  <c r="C34" i="116"/>
  <c r="D33" i="116"/>
  <c r="C33" i="116"/>
  <c r="D32" i="116"/>
  <c r="C32" i="116"/>
  <c r="D31" i="116"/>
  <c r="C31" i="116"/>
  <c r="D30" i="116"/>
  <c r="C30" i="116"/>
  <c r="D29" i="116"/>
  <c r="C29" i="116"/>
  <c r="D28" i="116"/>
  <c r="C28" i="116"/>
  <c r="D27" i="116"/>
  <c r="C27" i="116"/>
  <c r="D26" i="116"/>
  <c r="C26" i="116"/>
  <c r="D25" i="116"/>
  <c r="C25" i="116"/>
  <c r="D24" i="116"/>
  <c r="C24" i="116"/>
  <c r="D23" i="116"/>
  <c r="C23" i="116"/>
  <c r="D22" i="116"/>
  <c r="C22" i="116"/>
  <c r="D21" i="116"/>
  <c r="C21" i="116"/>
  <c r="D20" i="116"/>
  <c r="C20" i="116"/>
  <c r="D19" i="116"/>
  <c r="C19" i="116"/>
  <c r="D18" i="116"/>
  <c r="C18" i="116"/>
  <c r="D17" i="116"/>
  <c r="C17" i="116"/>
  <c r="D16" i="116"/>
  <c r="C16" i="116"/>
  <c r="D15" i="116"/>
  <c r="C15" i="116"/>
  <c r="D14" i="116"/>
  <c r="C14" i="116"/>
  <c r="D13" i="116"/>
  <c r="C13" i="116"/>
  <c r="D12" i="116"/>
  <c r="C12" i="116"/>
  <c r="D11" i="116"/>
  <c r="C11" i="116"/>
  <c r="D10" i="116"/>
  <c r="C10" i="116"/>
  <c r="D9" i="116"/>
  <c r="C9" i="116"/>
  <c r="D8" i="116"/>
  <c r="C8" i="116"/>
  <c r="D7" i="116"/>
  <c r="C7" i="116"/>
  <c r="D6" i="116"/>
  <c r="C6" i="116"/>
  <c r="D5" i="116"/>
  <c r="C5" i="116"/>
  <c r="B2" i="116"/>
  <c r="A2" i="116"/>
  <c r="A62" i="115"/>
  <c r="D60" i="115"/>
  <c r="C60" i="115"/>
  <c r="D59" i="115"/>
  <c r="C59" i="115"/>
  <c r="D58" i="115"/>
  <c r="C58" i="115"/>
  <c r="D57" i="115"/>
  <c r="C57" i="115"/>
  <c r="D56" i="115"/>
  <c r="C56" i="115"/>
  <c r="D55" i="115"/>
  <c r="C55" i="115"/>
  <c r="D54" i="115"/>
  <c r="C54" i="115"/>
  <c r="D53" i="115"/>
  <c r="C53" i="115"/>
  <c r="D52" i="115"/>
  <c r="C52" i="115"/>
  <c r="D51" i="115"/>
  <c r="C51" i="115"/>
  <c r="D50" i="115"/>
  <c r="C50" i="115"/>
  <c r="D49" i="115"/>
  <c r="C49" i="115"/>
  <c r="D48" i="115"/>
  <c r="C48" i="115"/>
  <c r="D47" i="115"/>
  <c r="C47" i="115"/>
  <c r="D46" i="115"/>
  <c r="C46" i="115"/>
  <c r="D45" i="115"/>
  <c r="C45" i="115"/>
  <c r="D44" i="115"/>
  <c r="C44" i="115"/>
  <c r="D43" i="115"/>
  <c r="C43" i="115"/>
  <c r="D42" i="115"/>
  <c r="C42" i="115"/>
  <c r="D41" i="115"/>
  <c r="C41" i="115"/>
  <c r="D40" i="115"/>
  <c r="C40" i="115"/>
  <c r="D39" i="115"/>
  <c r="C39" i="115"/>
  <c r="D38" i="115"/>
  <c r="C38" i="115"/>
  <c r="D37" i="115"/>
  <c r="C37" i="115"/>
  <c r="D36" i="115"/>
  <c r="C36" i="115"/>
  <c r="D35" i="115"/>
  <c r="C35" i="115"/>
  <c r="D34" i="115"/>
  <c r="C34" i="115"/>
  <c r="D33" i="115"/>
  <c r="C33" i="115"/>
  <c r="D32" i="115"/>
  <c r="C32" i="115"/>
  <c r="D31" i="115"/>
  <c r="C31" i="115"/>
  <c r="D30" i="115"/>
  <c r="C30" i="115"/>
  <c r="D29" i="115"/>
  <c r="C29" i="115"/>
  <c r="D28" i="115"/>
  <c r="C28" i="115"/>
  <c r="D27" i="115"/>
  <c r="C27" i="115"/>
  <c r="D26" i="115"/>
  <c r="C26" i="115"/>
  <c r="D25" i="115"/>
  <c r="C25" i="115"/>
  <c r="D24" i="115"/>
  <c r="C24" i="115"/>
  <c r="D23" i="115"/>
  <c r="C23" i="115"/>
  <c r="D22" i="115"/>
  <c r="C22" i="115"/>
  <c r="D21" i="115"/>
  <c r="C21" i="115"/>
  <c r="D20" i="115"/>
  <c r="C20" i="115"/>
  <c r="D19" i="115"/>
  <c r="C19" i="115"/>
  <c r="D18" i="115"/>
  <c r="C18" i="115"/>
  <c r="D17" i="115"/>
  <c r="C17" i="115"/>
  <c r="D16" i="115"/>
  <c r="C16" i="115"/>
  <c r="D15" i="115"/>
  <c r="C15" i="115"/>
  <c r="D14" i="115"/>
  <c r="C14" i="115"/>
  <c r="D13" i="115"/>
  <c r="C13" i="115"/>
  <c r="D12" i="115"/>
  <c r="C12" i="115"/>
  <c r="D11" i="115"/>
  <c r="C11" i="115"/>
  <c r="D10" i="115"/>
  <c r="C10" i="115"/>
  <c r="D9" i="115"/>
  <c r="C9" i="115"/>
  <c r="D8" i="115"/>
  <c r="C8" i="115"/>
  <c r="D7" i="115"/>
  <c r="C7" i="115"/>
  <c r="D6" i="115"/>
  <c r="C6" i="115"/>
  <c r="D5" i="115"/>
  <c r="C5" i="115"/>
  <c r="B2" i="115"/>
  <c r="A2" i="115"/>
  <c r="A62" i="114"/>
  <c r="D60" i="114"/>
  <c r="C60" i="114"/>
  <c r="D59" i="114"/>
  <c r="C59" i="114"/>
  <c r="D58" i="114"/>
  <c r="C58" i="114"/>
  <c r="D57" i="114"/>
  <c r="C57" i="114"/>
  <c r="D56" i="114"/>
  <c r="C56" i="114"/>
  <c r="D55" i="114"/>
  <c r="C55" i="114"/>
  <c r="D54" i="114"/>
  <c r="C54" i="114"/>
  <c r="D53" i="114"/>
  <c r="C53" i="114"/>
  <c r="D52" i="114"/>
  <c r="C52" i="114"/>
  <c r="D51" i="114"/>
  <c r="C51" i="114"/>
  <c r="D50" i="114"/>
  <c r="C50" i="114"/>
  <c r="D49" i="114"/>
  <c r="C49" i="114"/>
  <c r="D48" i="114"/>
  <c r="C48" i="114"/>
  <c r="D47" i="114"/>
  <c r="C47" i="114"/>
  <c r="D46" i="114"/>
  <c r="C46" i="114"/>
  <c r="D45" i="114"/>
  <c r="C45" i="114"/>
  <c r="D44" i="114"/>
  <c r="C44" i="114"/>
  <c r="D43" i="114"/>
  <c r="C43" i="114"/>
  <c r="D42" i="114"/>
  <c r="C42" i="114"/>
  <c r="D41" i="114"/>
  <c r="C41" i="114"/>
  <c r="D40" i="114"/>
  <c r="C40" i="114"/>
  <c r="D39" i="114"/>
  <c r="C39" i="114"/>
  <c r="D38" i="114"/>
  <c r="C38" i="114"/>
  <c r="D37" i="114"/>
  <c r="C37" i="114"/>
  <c r="D36" i="114"/>
  <c r="C36" i="114"/>
  <c r="D35" i="114"/>
  <c r="C35" i="114"/>
  <c r="D34" i="114"/>
  <c r="C34" i="114"/>
  <c r="D33" i="114"/>
  <c r="C33" i="114"/>
  <c r="D32" i="114"/>
  <c r="C32" i="114"/>
  <c r="D31" i="114"/>
  <c r="C31" i="114"/>
  <c r="D30" i="114"/>
  <c r="C30" i="114"/>
  <c r="D29" i="114"/>
  <c r="C29" i="114"/>
  <c r="D28" i="114"/>
  <c r="C28" i="114"/>
  <c r="D27" i="114"/>
  <c r="C27" i="114"/>
  <c r="D26" i="114"/>
  <c r="C26" i="114"/>
  <c r="D25" i="114"/>
  <c r="C25" i="114"/>
  <c r="D24" i="114"/>
  <c r="C24" i="114"/>
  <c r="D23" i="114"/>
  <c r="C23" i="114"/>
  <c r="D22" i="114"/>
  <c r="C22" i="114"/>
  <c r="D21" i="114"/>
  <c r="C21" i="114"/>
  <c r="D20" i="114"/>
  <c r="C20" i="114"/>
  <c r="D19" i="114"/>
  <c r="C19" i="114"/>
  <c r="D18" i="114"/>
  <c r="C18" i="114"/>
  <c r="D17" i="114"/>
  <c r="C17" i="114"/>
  <c r="D16" i="114"/>
  <c r="C16" i="114"/>
  <c r="D15" i="114"/>
  <c r="C15" i="114"/>
  <c r="D14" i="114"/>
  <c r="C14" i="114"/>
  <c r="D13" i="114"/>
  <c r="C13" i="114"/>
  <c r="D12" i="114"/>
  <c r="C12" i="114"/>
  <c r="D11" i="114"/>
  <c r="C11" i="114"/>
  <c r="D10" i="114"/>
  <c r="C10" i="114"/>
  <c r="D9" i="114"/>
  <c r="C9" i="114"/>
  <c r="D8" i="114"/>
  <c r="C8" i="114"/>
  <c r="D7" i="114"/>
  <c r="C7" i="114"/>
  <c r="D6" i="114"/>
  <c r="C6" i="114"/>
  <c r="D5" i="114"/>
  <c r="C5" i="114"/>
  <c r="B2" i="114"/>
  <c r="A2" i="114"/>
  <c r="A62" i="113"/>
  <c r="D60" i="113"/>
  <c r="C60" i="113"/>
  <c r="D59" i="113"/>
  <c r="C59" i="113"/>
  <c r="D58" i="113"/>
  <c r="C58" i="113"/>
  <c r="D57" i="113"/>
  <c r="C57" i="113"/>
  <c r="D56" i="113"/>
  <c r="C56" i="113"/>
  <c r="D55" i="113"/>
  <c r="C55" i="113"/>
  <c r="D54" i="113"/>
  <c r="C54" i="113"/>
  <c r="D53" i="113"/>
  <c r="C53" i="113"/>
  <c r="D52" i="113"/>
  <c r="C52" i="113"/>
  <c r="D51" i="113"/>
  <c r="C51" i="113"/>
  <c r="D50" i="113"/>
  <c r="C50" i="113"/>
  <c r="D49" i="113"/>
  <c r="C49" i="113"/>
  <c r="D48" i="113"/>
  <c r="C48" i="113"/>
  <c r="D47" i="113"/>
  <c r="C47" i="113"/>
  <c r="D46" i="113"/>
  <c r="C46" i="113"/>
  <c r="D45" i="113"/>
  <c r="C45" i="113"/>
  <c r="D44" i="113"/>
  <c r="C44" i="113"/>
  <c r="D43" i="113"/>
  <c r="C43" i="113"/>
  <c r="D42" i="113"/>
  <c r="C42" i="113"/>
  <c r="D41" i="113"/>
  <c r="C41" i="113"/>
  <c r="D40" i="113"/>
  <c r="C40" i="113"/>
  <c r="D39" i="113"/>
  <c r="C39" i="113"/>
  <c r="D38" i="113"/>
  <c r="C38" i="113"/>
  <c r="D37" i="113"/>
  <c r="C37" i="113"/>
  <c r="D36" i="113"/>
  <c r="C36" i="113"/>
  <c r="D35" i="113"/>
  <c r="C35" i="113"/>
  <c r="D34" i="113"/>
  <c r="C34" i="113"/>
  <c r="D33" i="113"/>
  <c r="C33" i="113"/>
  <c r="D32" i="113"/>
  <c r="C32" i="113"/>
  <c r="D31" i="113"/>
  <c r="C31" i="113"/>
  <c r="D30" i="113"/>
  <c r="C30" i="113"/>
  <c r="D29" i="113"/>
  <c r="C29" i="113"/>
  <c r="D28" i="113"/>
  <c r="C28" i="113"/>
  <c r="D27" i="113"/>
  <c r="C27" i="113"/>
  <c r="D26" i="113"/>
  <c r="C26" i="113"/>
  <c r="D25" i="113"/>
  <c r="C25" i="113"/>
  <c r="D24" i="113"/>
  <c r="C24" i="113"/>
  <c r="D23" i="113"/>
  <c r="C23" i="113"/>
  <c r="D22" i="113"/>
  <c r="C22" i="113"/>
  <c r="D21" i="113"/>
  <c r="C21" i="113"/>
  <c r="D20" i="113"/>
  <c r="C20" i="113"/>
  <c r="D19" i="113"/>
  <c r="C19" i="113"/>
  <c r="D18" i="113"/>
  <c r="C18" i="113"/>
  <c r="D17" i="113"/>
  <c r="C17" i="113"/>
  <c r="D16" i="113"/>
  <c r="C16" i="113"/>
  <c r="D15" i="113"/>
  <c r="C15" i="113"/>
  <c r="D14" i="113"/>
  <c r="C14" i="113"/>
  <c r="D13" i="113"/>
  <c r="C13" i="113"/>
  <c r="D12" i="113"/>
  <c r="C12" i="113"/>
  <c r="D11" i="113"/>
  <c r="C11" i="113"/>
  <c r="D10" i="113"/>
  <c r="C10" i="113"/>
  <c r="D9" i="113"/>
  <c r="C9" i="113"/>
  <c r="D8" i="113"/>
  <c r="C8" i="113"/>
  <c r="D7" i="113"/>
  <c r="C7" i="113"/>
  <c r="D6" i="113"/>
  <c r="C6" i="113"/>
  <c r="D5" i="113"/>
  <c r="C5" i="113"/>
  <c r="B2" i="113"/>
  <c r="A2" i="113"/>
  <c r="A62" i="112"/>
  <c r="D60" i="112"/>
  <c r="C60" i="112"/>
  <c r="D59" i="112"/>
  <c r="C59" i="112"/>
  <c r="D58" i="112"/>
  <c r="C58" i="112"/>
  <c r="D57" i="112"/>
  <c r="C57" i="112"/>
  <c r="D56" i="112"/>
  <c r="C56" i="112"/>
  <c r="D55" i="112"/>
  <c r="C55" i="112"/>
  <c r="D54" i="112"/>
  <c r="C54" i="112"/>
  <c r="D53" i="112"/>
  <c r="C53" i="112"/>
  <c r="D52" i="112"/>
  <c r="C52" i="112"/>
  <c r="D51" i="112"/>
  <c r="C51" i="112"/>
  <c r="D50" i="112"/>
  <c r="C50" i="112"/>
  <c r="D49" i="112"/>
  <c r="C49" i="112"/>
  <c r="D48" i="112"/>
  <c r="C48" i="112"/>
  <c r="D47" i="112"/>
  <c r="C47" i="112"/>
  <c r="D46" i="112"/>
  <c r="C46" i="112"/>
  <c r="D45" i="112"/>
  <c r="C45" i="112"/>
  <c r="D44" i="112"/>
  <c r="C44" i="112"/>
  <c r="D43" i="112"/>
  <c r="C43" i="112"/>
  <c r="D42" i="112"/>
  <c r="C42" i="112"/>
  <c r="D41" i="112"/>
  <c r="C41" i="112"/>
  <c r="D40" i="112"/>
  <c r="C40" i="112"/>
  <c r="D39" i="112"/>
  <c r="C39" i="112"/>
  <c r="D38" i="112"/>
  <c r="C38" i="112"/>
  <c r="D37" i="112"/>
  <c r="C37" i="112"/>
  <c r="D36" i="112"/>
  <c r="C36" i="112"/>
  <c r="D35" i="112"/>
  <c r="C35" i="112"/>
  <c r="D34" i="112"/>
  <c r="C34" i="112"/>
  <c r="D33" i="112"/>
  <c r="C33" i="112"/>
  <c r="D32" i="112"/>
  <c r="C32" i="112"/>
  <c r="D31" i="112"/>
  <c r="C31" i="112"/>
  <c r="D30" i="112"/>
  <c r="C30" i="112"/>
  <c r="D29" i="112"/>
  <c r="C29" i="112"/>
  <c r="D28" i="112"/>
  <c r="C28" i="112"/>
  <c r="D27" i="112"/>
  <c r="C27" i="112"/>
  <c r="D26" i="112"/>
  <c r="C26" i="112"/>
  <c r="D25" i="112"/>
  <c r="C25" i="112"/>
  <c r="D24" i="112"/>
  <c r="C24" i="112"/>
  <c r="D23" i="112"/>
  <c r="C23" i="112"/>
  <c r="D22" i="112"/>
  <c r="C22" i="112"/>
  <c r="D21" i="112"/>
  <c r="C21" i="112"/>
  <c r="D20" i="112"/>
  <c r="C20" i="112"/>
  <c r="D19" i="112"/>
  <c r="C19" i="112"/>
  <c r="D18" i="112"/>
  <c r="C18" i="112"/>
  <c r="D17" i="112"/>
  <c r="C17" i="112"/>
  <c r="D16" i="112"/>
  <c r="C16" i="112"/>
  <c r="D15" i="112"/>
  <c r="C15" i="112"/>
  <c r="D14" i="112"/>
  <c r="C14" i="112"/>
  <c r="D13" i="112"/>
  <c r="C13" i="112"/>
  <c r="D12" i="112"/>
  <c r="C12" i="112"/>
  <c r="D11" i="112"/>
  <c r="C11" i="112"/>
  <c r="D10" i="112"/>
  <c r="C10" i="112"/>
  <c r="D9" i="112"/>
  <c r="C9" i="112"/>
  <c r="D8" i="112"/>
  <c r="C8" i="112"/>
  <c r="D7" i="112"/>
  <c r="C7" i="112"/>
  <c r="D6" i="112"/>
  <c r="C6" i="112"/>
  <c r="D5" i="112"/>
  <c r="C5" i="112"/>
  <c r="B2" i="112"/>
  <c r="A2" i="112"/>
  <c r="A62" i="111"/>
  <c r="D60" i="111"/>
  <c r="C60" i="111"/>
  <c r="D59" i="111"/>
  <c r="C59" i="111"/>
  <c r="D58" i="111"/>
  <c r="C58" i="111"/>
  <c r="D57" i="111"/>
  <c r="C57" i="111"/>
  <c r="D56" i="111"/>
  <c r="C56" i="111"/>
  <c r="D55" i="111"/>
  <c r="C55" i="111"/>
  <c r="D54" i="111"/>
  <c r="C54" i="111"/>
  <c r="D53" i="111"/>
  <c r="C53" i="111"/>
  <c r="D52" i="111"/>
  <c r="C52" i="111"/>
  <c r="D51" i="111"/>
  <c r="C51" i="111"/>
  <c r="D50" i="111"/>
  <c r="C50" i="111"/>
  <c r="D49" i="111"/>
  <c r="C49" i="111"/>
  <c r="D48" i="111"/>
  <c r="C48" i="111"/>
  <c r="D47" i="111"/>
  <c r="C47" i="111"/>
  <c r="D46" i="111"/>
  <c r="C46" i="111"/>
  <c r="D45" i="111"/>
  <c r="C45" i="111"/>
  <c r="D44" i="111"/>
  <c r="C44" i="111"/>
  <c r="D43" i="111"/>
  <c r="C43" i="111"/>
  <c r="D42" i="111"/>
  <c r="C42" i="111"/>
  <c r="D41" i="111"/>
  <c r="C41" i="111"/>
  <c r="D40" i="111"/>
  <c r="C40" i="111"/>
  <c r="D39" i="111"/>
  <c r="C39" i="111"/>
  <c r="D38" i="111"/>
  <c r="C38" i="111"/>
  <c r="D37" i="111"/>
  <c r="C37" i="111"/>
  <c r="D36" i="111"/>
  <c r="C36" i="111"/>
  <c r="D35" i="111"/>
  <c r="C35" i="111"/>
  <c r="D34" i="111"/>
  <c r="C34" i="111"/>
  <c r="D33" i="111"/>
  <c r="C33" i="111"/>
  <c r="D32" i="111"/>
  <c r="C32" i="111"/>
  <c r="D31" i="111"/>
  <c r="C31" i="111"/>
  <c r="D30" i="111"/>
  <c r="C30" i="111"/>
  <c r="D29" i="111"/>
  <c r="C29" i="111"/>
  <c r="D28" i="111"/>
  <c r="C28" i="111"/>
  <c r="D27" i="111"/>
  <c r="C27" i="111"/>
  <c r="D26" i="111"/>
  <c r="C26" i="111"/>
  <c r="D25" i="111"/>
  <c r="C25" i="111"/>
  <c r="D24" i="111"/>
  <c r="C24" i="111"/>
  <c r="D23" i="111"/>
  <c r="C23" i="111"/>
  <c r="D22" i="111"/>
  <c r="C22" i="111"/>
  <c r="D21" i="111"/>
  <c r="C21" i="111"/>
  <c r="D20" i="111"/>
  <c r="C20" i="111"/>
  <c r="D19" i="111"/>
  <c r="C19" i="111"/>
  <c r="D18" i="111"/>
  <c r="C18" i="111"/>
  <c r="D17" i="111"/>
  <c r="C17" i="111"/>
  <c r="D16" i="111"/>
  <c r="C16" i="111"/>
  <c r="D15" i="111"/>
  <c r="C15" i="111"/>
  <c r="D14" i="111"/>
  <c r="C14" i="111"/>
  <c r="D13" i="111"/>
  <c r="C13" i="111"/>
  <c r="D12" i="111"/>
  <c r="C12" i="111"/>
  <c r="D11" i="111"/>
  <c r="C11" i="111"/>
  <c r="D10" i="111"/>
  <c r="C10" i="111"/>
  <c r="D9" i="111"/>
  <c r="C9" i="111"/>
  <c r="D8" i="111"/>
  <c r="C8" i="111"/>
  <c r="D7" i="111"/>
  <c r="C7" i="111"/>
  <c r="D6" i="111"/>
  <c r="C6" i="111"/>
  <c r="D5" i="111"/>
  <c r="C5" i="111"/>
  <c r="B2" i="111"/>
  <c r="A2" i="111"/>
  <c r="A62" i="110"/>
  <c r="D60" i="110"/>
  <c r="C60" i="110"/>
  <c r="D59" i="110"/>
  <c r="C59" i="110"/>
  <c r="D58" i="110"/>
  <c r="C58" i="110"/>
  <c r="D57" i="110"/>
  <c r="C57" i="110"/>
  <c r="D56" i="110"/>
  <c r="C56" i="110"/>
  <c r="D55" i="110"/>
  <c r="C55" i="110"/>
  <c r="D54" i="110"/>
  <c r="C54" i="110"/>
  <c r="D53" i="110"/>
  <c r="C53" i="110"/>
  <c r="D52" i="110"/>
  <c r="C52" i="110"/>
  <c r="D51" i="110"/>
  <c r="C51" i="110"/>
  <c r="D50" i="110"/>
  <c r="C50" i="110"/>
  <c r="D49" i="110"/>
  <c r="C49" i="110"/>
  <c r="D48" i="110"/>
  <c r="C48" i="110"/>
  <c r="D47" i="110"/>
  <c r="C47" i="110"/>
  <c r="D46" i="110"/>
  <c r="C46" i="110"/>
  <c r="D45" i="110"/>
  <c r="C45" i="110"/>
  <c r="D44" i="110"/>
  <c r="C44" i="110"/>
  <c r="D43" i="110"/>
  <c r="C43" i="110"/>
  <c r="D42" i="110"/>
  <c r="C42" i="110"/>
  <c r="D41" i="110"/>
  <c r="C41" i="110"/>
  <c r="D40" i="110"/>
  <c r="C40" i="110"/>
  <c r="D39" i="110"/>
  <c r="C39" i="110"/>
  <c r="D38" i="110"/>
  <c r="C38" i="110"/>
  <c r="D37" i="110"/>
  <c r="C37" i="110"/>
  <c r="D36" i="110"/>
  <c r="C36" i="110"/>
  <c r="D35" i="110"/>
  <c r="C35" i="110"/>
  <c r="D34" i="110"/>
  <c r="C34" i="110"/>
  <c r="D33" i="110"/>
  <c r="C33" i="110"/>
  <c r="D32" i="110"/>
  <c r="C32" i="110"/>
  <c r="D31" i="110"/>
  <c r="C31" i="110"/>
  <c r="D30" i="110"/>
  <c r="C30" i="110"/>
  <c r="D29" i="110"/>
  <c r="C29" i="110"/>
  <c r="D28" i="110"/>
  <c r="C28" i="110"/>
  <c r="D27" i="110"/>
  <c r="C27" i="110"/>
  <c r="D26" i="110"/>
  <c r="C26" i="110"/>
  <c r="D25" i="110"/>
  <c r="C25" i="110"/>
  <c r="D24" i="110"/>
  <c r="C24" i="110"/>
  <c r="D23" i="110"/>
  <c r="C23" i="110"/>
  <c r="D22" i="110"/>
  <c r="C22" i="110"/>
  <c r="D21" i="110"/>
  <c r="C21" i="110"/>
  <c r="D20" i="110"/>
  <c r="C20" i="110"/>
  <c r="D19" i="110"/>
  <c r="C19" i="110"/>
  <c r="D18" i="110"/>
  <c r="C18" i="110"/>
  <c r="D17" i="110"/>
  <c r="C17" i="110"/>
  <c r="D16" i="110"/>
  <c r="C16" i="110"/>
  <c r="D15" i="110"/>
  <c r="C15" i="110"/>
  <c r="D14" i="110"/>
  <c r="C14" i="110"/>
  <c r="D13" i="110"/>
  <c r="C13" i="110"/>
  <c r="D12" i="110"/>
  <c r="C12" i="110"/>
  <c r="D11" i="110"/>
  <c r="C11" i="110"/>
  <c r="D10" i="110"/>
  <c r="C10" i="110"/>
  <c r="D9" i="110"/>
  <c r="C9" i="110"/>
  <c r="D8" i="110"/>
  <c r="C8" i="110"/>
  <c r="D7" i="110"/>
  <c r="C7" i="110"/>
  <c r="D6" i="110"/>
  <c r="C6" i="110"/>
  <c r="D5" i="110"/>
  <c r="C5" i="110"/>
  <c r="B2" i="110"/>
  <c r="A2" i="110"/>
  <c r="A62" i="109"/>
  <c r="D60" i="109"/>
  <c r="C60" i="109"/>
  <c r="D59" i="109"/>
  <c r="C59" i="109"/>
  <c r="D58" i="109"/>
  <c r="C58" i="109"/>
  <c r="D57" i="109"/>
  <c r="C57" i="109"/>
  <c r="D56" i="109"/>
  <c r="C56" i="109"/>
  <c r="D55" i="109"/>
  <c r="C55" i="109"/>
  <c r="D54" i="109"/>
  <c r="C54" i="109"/>
  <c r="D53" i="109"/>
  <c r="C53" i="109"/>
  <c r="D52" i="109"/>
  <c r="C52" i="109"/>
  <c r="D51" i="109"/>
  <c r="C51" i="109"/>
  <c r="D50" i="109"/>
  <c r="C50" i="109"/>
  <c r="D49" i="109"/>
  <c r="C49" i="109"/>
  <c r="D48" i="109"/>
  <c r="C48" i="109"/>
  <c r="D47" i="109"/>
  <c r="C47" i="109"/>
  <c r="D46" i="109"/>
  <c r="C46" i="109"/>
  <c r="D45" i="109"/>
  <c r="C45" i="109"/>
  <c r="D44" i="109"/>
  <c r="C44" i="109"/>
  <c r="D43" i="109"/>
  <c r="C43" i="109"/>
  <c r="D42" i="109"/>
  <c r="C42" i="109"/>
  <c r="D41" i="109"/>
  <c r="C41" i="109"/>
  <c r="D40" i="109"/>
  <c r="C40" i="109"/>
  <c r="D39" i="109"/>
  <c r="C39" i="109"/>
  <c r="D38" i="109"/>
  <c r="C38" i="109"/>
  <c r="D37" i="109"/>
  <c r="C37" i="109"/>
  <c r="D36" i="109"/>
  <c r="C36" i="109"/>
  <c r="D35" i="109"/>
  <c r="C35" i="109"/>
  <c r="D34" i="109"/>
  <c r="C34" i="109"/>
  <c r="D33" i="109"/>
  <c r="C33" i="109"/>
  <c r="D32" i="109"/>
  <c r="C32" i="109"/>
  <c r="D31" i="109"/>
  <c r="C31" i="109"/>
  <c r="D30" i="109"/>
  <c r="C30" i="109"/>
  <c r="D29" i="109"/>
  <c r="C29" i="109"/>
  <c r="D28" i="109"/>
  <c r="C28" i="109"/>
  <c r="D27" i="109"/>
  <c r="C27" i="109"/>
  <c r="D26" i="109"/>
  <c r="C26" i="109"/>
  <c r="D25" i="109"/>
  <c r="C25" i="109"/>
  <c r="D24" i="109"/>
  <c r="C24" i="109"/>
  <c r="D23" i="109"/>
  <c r="C23" i="109"/>
  <c r="D22" i="109"/>
  <c r="C22" i="109"/>
  <c r="D21" i="109"/>
  <c r="C21" i="109"/>
  <c r="D20" i="109"/>
  <c r="C20" i="109"/>
  <c r="D19" i="109"/>
  <c r="C19" i="109"/>
  <c r="D18" i="109"/>
  <c r="C18" i="109"/>
  <c r="D17" i="109"/>
  <c r="C17" i="109"/>
  <c r="D16" i="109"/>
  <c r="C16" i="109"/>
  <c r="D15" i="109"/>
  <c r="C15" i="109"/>
  <c r="D14" i="109"/>
  <c r="C14" i="109"/>
  <c r="D13" i="109"/>
  <c r="C13" i="109"/>
  <c r="D12" i="109"/>
  <c r="C12" i="109"/>
  <c r="D11" i="109"/>
  <c r="C11" i="109"/>
  <c r="D10" i="109"/>
  <c r="C10" i="109"/>
  <c r="D9" i="109"/>
  <c r="C9" i="109"/>
  <c r="D8" i="109"/>
  <c r="C8" i="109"/>
  <c r="D7" i="109"/>
  <c r="C7" i="109"/>
  <c r="D6" i="109"/>
  <c r="C6" i="109"/>
  <c r="D5" i="109"/>
  <c r="C5" i="109"/>
  <c r="B2" i="109"/>
  <c r="A2" i="109"/>
  <c r="A62" i="108"/>
  <c r="D60" i="108"/>
  <c r="C60" i="108"/>
  <c r="D59" i="108"/>
  <c r="C59" i="108"/>
  <c r="D58" i="108"/>
  <c r="C58" i="108"/>
  <c r="D57" i="108"/>
  <c r="C57" i="108"/>
  <c r="D56" i="108"/>
  <c r="C56" i="108"/>
  <c r="D55" i="108"/>
  <c r="C55" i="108"/>
  <c r="D54" i="108"/>
  <c r="C54" i="108"/>
  <c r="D53" i="108"/>
  <c r="C53" i="108"/>
  <c r="D52" i="108"/>
  <c r="C52" i="108"/>
  <c r="D51" i="108"/>
  <c r="C51" i="108"/>
  <c r="D50" i="108"/>
  <c r="C50" i="108"/>
  <c r="D49" i="108"/>
  <c r="C49" i="108"/>
  <c r="D48" i="108"/>
  <c r="C48" i="108"/>
  <c r="D47" i="108"/>
  <c r="C47" i="108"/>
  <c r="D46" i="108"/>
  <c r="C46" i="108"/>
  <c r="D45" i="108"/>
  <c r="C45" i="108"/>
  <c r="D44" i="108"/>
  <c r="C44" i="108"/>
  <c r="D43" i="108"/>
  <c r="C43" i="108"/>
  <c r="D42" i="108"/>
  <c r="C42" i="108"/>
  <c r="D41" i="108"/>
  <c r="C41" i="108"/>
  <c r="D40" i="108"/>
  <c r="C40" i="108"/>
  <c r="D39" i="108"/>
  <c r="C39" i="108"/>
  <c r="D38" i="108"/>
  <c r="C38" i="108"/>
  <c r="D37" i="108"/>
  <c r="C37" i="108"/>
  <c r="D36" i="108"/>
  <c r="C36" i="108"/>
  <c r="D35" i="108"/>
  <c r="C35" i="108"/>
  <c r="D34" i="108"/>
  <c r="C34" i="108"/>
  <c r="D33" i="108"/>
  <c r="C33" i="108"/>
  <c r="D32" i="108"/>
  <c r="C32" i="108"/>
  <c r="D31" i="108"/>
  <c r="C31" i="108"/>
  <c r="D30" i="108"/>
  <c r="C30" i="108"/>
  <c r="D29" i="108"/>
  <c r="C29" i="108"/>
  <c r="D28" i="108"/>
  <c r="C28" i="108"/>
  <c r="D27" i="108"/>
  <c r="C27" i="108"/>
  <c r="D26" i="108"/>
  <c r="C26" i="108"/>
  <c r="D25" i="108"/>
  <c r="C25" i="108"/>
  <c r="D24" i="108"/>
  <c r="C24" i="108"/>
  <c r="D23" i="108"/>
  <c r="C23" i="108"/>
  <c r="D22" i="108"/>
  <c r="C22" i="108"/>
  <c r="D21" i="108"/>
  <c r="C21" i="108"/>
  <c r="D20" i="108"/>
  <c r="C20" i="108"/>
  <c r="D19" i="108"/>
  <c r="C19" i="108"/>
  <c r="D18" i="108"/>
  <c r="C18" i="108"/>
  <c r="D17" i="108"/>
  <c r="C17" i="108"/>
  <c r="D16" i="108"/>
  <c r="C16" i="108"/>
  <c r="D15" i="108"/>
  <c r="C15" i="108"/>
  <c r="D14" i="108"/>
  <c r="C14" i="108"/>
  <c r="D13" i="108"/>
  <c r="C13" i="108"/>
  <c r="D12" i="108"/>
  <c r="C12" i="108"/>
  <c r="D11" i="108"/>
  <c r="C11" i="108"/>
  <c r="D10" i="108"/>
  <c r="C10" i="108"/>
  <c r="D9" i="108"/>
  <c r="C9" i="108"/>
  <c r="D8" i="108"/>
  <c r="C8" i="108"/>
  <c r="D7" i="108"/>
  <c r="C7" i="108"/>
  <c r="D6" i="108"/>
  <c r="C6" i="108"/>
  <c r="D5" i="108"/>
  <c r="C5" i="108"/>
  <c r="B2" i="108"/>
  <c r="A2" i="108"/>
  <c r="A62" i="107"/>
  <c r="D60" i="107"/>
  <c r="C60" i="107"/>
  <c r="D59" i="107"/>
  <c r="C59" i="107"/>
  <c r="D58" i="107"/>
  <c r="C58" i="107"/>
  <c r="D57" i="107"/>
  <c r="C57" i="107"/>
  <c r="D56" i="107"/>
  <c r="C56" i="107"/>
  <c r="D55" i="107"/>
  <c r="C55" i="107"/>
  <c r="D54" i="107"/>
  <c r="C54" i="107"/>
  <c r="D53" i="107"/>
  <c r="C53" i="107"/>
  <c r="D52" i="107"/>
  <c r="C52" i="107"/>
  <c r="D51" i="107"/>
  <c r="C51" i="107"/>
  <c r="D50" i="107"/>
  <c r="C50" i="107"/>
  <c r="D49" i="107"/>
  <c r="C49" i="107"/>
  <c r="D48" i="107"/>
  <c r="C48" i="107"/>
  <c r="D47" i="107"/>
  <c r="C47" i="107"/>
  <c r="D46" i="107"/>
  <c r="C46" i="107"/>
  <c r="D45" i="107"/>
  <c r="C45" i="107"/>
  <c r="D44" i="107"/>
  <c r="C44" i="107"/>
  <c r="D43" i="107"/>
  <c r="C43" i="107"/>
  <c r="D42" i="107"/>
  <c r="C42" i="107"/>
  <c r="D41" i="107"/>
  <c r="C41" i="107"/>
  <c r="D40" i="107"/>
  <c r="C40" i="107"/>
  <c r="D39" i="107"/>
  <c r="C39" i="107"/>
  <c r="D38" i="107"/>
  <c r="C38" i="107"/>
  <c r="D37" i="107"/>
  <c r="C37" i="107"/>
  <c r="D36" i="107"/>
  <c r="C36" i="107"/>
  <c r="D35" i="107"/>
  <c r="C35" i="107"/>
  <c r="D34" i="107"/>
  <c r="C34" i="107"/>
  <c r="D33" i="107"/>
  <c r="C33" i="107"/>
  <c r="D32" i="107"/>
  <c r="C32" i="107"/>
  <c r="D31" i="107"/>
  <c r="C31" i="107"/>
  <c r="D30" i="107"/>
  <c r="C30" i="107"/>
  <c r="D29" i="107"/>
  <c r="C29" i="107"/>
  <c r="D28" i="107"/>
  <c r="C28" i="107"/>
  <c r="D27" i="107"/>
  <c r="C27" i="107"/>
  <c r="D26" i="107"/>
  <c r="C26" i="107"/>
  <c r="D25" i="107"/>
  <c r="C25" i="107"/>
  <c r="D24" i="107"/>
  <c r="C24" i="107"/>
  <c r="D23" i="107"/>
  <c r="C23" i="107"/>
  <c r="D22" i="107"/>
  <c r="C22" i="107"/>
  <c r="D21" i="107"/>
  <c r="C21" i="107"/>
  <c r="D20" i="107"/>
  <c r="C20" i="107"/>
  <c r="D19" i="107"/>
  <c r="C19" i="107"/>
  <c r="D18" i="107"/>
  <c r="C18" i="107"/>
  <c r="D17" i="107"/>
  <c r="C17" i="107"/>
  <c r="D16" i="107"/>
  <c r="C16" i="107"/>
  <c r="D15" i="107"/>
  <c r="C15" i="107"/>
  <c r="D14" i="107"/>
  <c r="C14" i="107"/>
  <c r="D13" i="107"/>
  <c r="C13" i="107"/>
  <c r="D12" i="107"/>
  <c r="C12" i="107"/>
  <c r="D11" i="107"/>
  <c r="C11" i="107"/>
  <c r="D10" i="107"/>
  <c r="C10" i="107"/>
  <c r="D9" i="107"/>
  <c r="C9" i="107"/>
  <c r="D8" i="107"/>
  <c r="C8" i="107"/>
  <c r="D7" i="107"/>
  <c r="C7" i="107"/>
  <c r="D6" i="107"/>
  <c r="C6" i="107"/>
  <c r="D5" i="107"/>
  <c r="C5" i="107"/>
  <c r="B2" i="107"/>
  <c r="A2" i="107"/>
  <c r="D2" i="158" l="1"/>
  <c r="C2" i="158" s="1"/>
  <c r="D2" i="157"/>
  <c r="C2" i="157" s="1"/>
  <c r="D2" i="156"/>
  <c r="C2" i="156" s="1"/>
  <c r="D2" i="155"/>
  <c r="C2" i="155" s="1"/>
  <c r="D2" i="154"/>
  <c r="C2" i="154" s="1"/>
  <c r="D2" i="153"/>
  <c r="C2" i="153" s="1"/>
  <c r="D2" i="152"/>
  <c r="C2" i="152" s="1"/>
  <c r="D2" i="151"/>
  <c r="C2" i="151" s="1"/>
  <c r="D2" i="150"/>
  <c r="C2" i="150" s="1"/>
  <c r="D2" i="149"/>
  <c r="C2" i="149" s="1"/>
  <c r="D2" i="148"/>
  <c r="C2" i="148" s="1"/>
  <c r="D2" i="147"/>
  <c r="C2" i="147" s="1"/>
  <c r="D2" i="146"/>
  <c r="C2" i="146" s="1"/>
  <c r="D2" i="145"/>
  <c r="C2" i="145" s="1"/>
  <c r="D2" i="144"/>
  <c r="C2" i="144" s="1"/>
  <c r="D2" i="143"/>
  <c r="C2" i="143" s="1"/>
  <c r="D2" i="142"/>
  <c r="C2" i="142" s="1"/>
  <c r="D2" i="141"/>
  <c r="C2" i="141" s="1"/>
  <c r="D2" i="140"/>
  <c r="C2" i="140" s="1"/>
  <c r="D2" i="139"/>
  <c r="C2" i="139" s="1"/>
  <c r="D2" i="138"/>
  <c r="C2" i="138" s="1"/>
  <c r="D2" i="137"/>
  <c r="C2" i="137" s="1"/>
  <c r="D2" i="136"/>
  <c r="C2" i="136" s="1"/>
  <c r="D2" i="135"/>
  <c r="C2" i="135" s="1"/>
  <c r="D2" i="134"/>
  <c r="C2" i="134" s="1"/>
  <c r="D2" i="133"/>
  <c r="C2" i="133" s="1"/>
  <c r="D2" i="132"/>
  <c r="C2" i="132" s="1"/>
  <c r="D2" i="131"/>
  <c r="C2" i="131" s="1"/>
  <c r="D2" i="130"/>
  <c r="C2" i="130" s="1"/>
  <c r="D2" i="129"/>
  <c r="C2" i="129" s="1"/>
  <c r="D2" i="128"/>
  <c r="C2" i="128" s="1"/>
  <c r="D2" i="127"/>
  <c r="C2" i="127" s="1"/>
  <c r="D2" i="126"/>
  <c r="C2" i="126" s="1"/>
  <c r="D2" i="125"/>
  <c r="C2" i="125" s="1"/>
  <c r="D2" i="124"/>
  <c r="C2" i="124" s="1"/>
  <c r="D2" i="123"/>
  <c r="C2" i="123" s="1"/>
  <c r="D2" i="122"/>
  <c r="C2" i="122" s="1"/>
  <c r="D2" i="121"/>
  <c r="C2" i="121" s="1"/>
  <c r="D2" i="120"/>
  <c r="C2" i="120" s="1"/>
  <c r="D2" i="119"/>
  <c r="C2" i="119" s="1"/>
  <c r="D2" i="118"/>
  <c r="C2" i="118" s="1"/>
  <c r="D2" i="117"/>
  <c r="C2" i="117" s="1"/>
  <c r="D2" i="116"/>
  <c r="C2" i="116" s="1"/>
  <c r="D2" i="115"/>
  <c r="C2" i="115" s="1"/>
  <c r="D2" i="114"/>
  <c r="C2" i="114" s="1"/>
  <c r="D2" i="113"/>
  <c r="C2" i="113" s="1"/>
  <c r="D2" i="112"/>
  <c r="C2" i="112" s="1"/>
  <c r="D2" i="111"/>
  <c r="C2" i="111" s="1"/>
  <c r="D2" i="110"/>
  <c r="C2" i="110" s="1"/>
  <c r="D2" i="109"/>
  <c r="C2" i="109" s="1"/>
  <c r="D2" i="108"/>
  <c r="C2" i="108" s="1"/>
  <c r="D2" i="107"/>
  <c r="C2" i="107" s="1"/>
  <c r="I19" i="1"/>
  <c r="A11" i="1" s="1"/>
  <c r="C23" i="2"/>
  <c r="C12" i="2" l="1"/>
  <c r="C7" i="2"/>
  <c r="C6" i="2" l="1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5" i="2"/>
  <c r="C9" i="2" l="1"/>
  <c r="C11" i="2"/>
  <c r="C10" i="2"/>
  <c r="D6" i="2"/>
  <c r="C5" i="2"/>
  <c r="A7" i="1" l="1"/>
  <c r="A6" i="1"/>
  <c r="A4" i="1"/>
  <c r="A3" i="1"/>
  <c r="A62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2" i="2"/>
  <c r="C21" i="2"/>
  <c r="C20" i="2"/>
  <c r="C19" i="2"/>
  <c r="C18" i="2"/>
  <c r="C17" i="2"/>
  <c r="C16" i="2"/>
  <c r="C15" i="2"/>
  <c r="C14" i="2"/>
  <c r="C13" i="2"/>
  <c r="C8" i="2"/>
  <c r="B2" i="2"/>
  <c r="A2" i="2"/>
  <c r="A13" i="1"/>
  <c r="G11" i="1"/>
  <c r="F1" i="1"/>
  <c r="C13" i="1"/>
  <c r="B13" i="1"/>
  <c r="A14" i="1" l="1"/>
  <c r="D2" i="2"/>
  <c r="B14" i="1"/>
  <c r="C14" i="1"/>
  <c r="E13" i="1"/>
  <c r="E14" i="1"/>
  <c r="D14" i="1"/>
  <c r="A15" i="1" l="1"/>
  <c r="C2" i="2"/>
  <c r="F14" i="1"/>
  <c r="D15" i="1"/>
  <c r="C15" i="1"/>
  <c r="B15" i="1"/>
  <c r="D13" i="1"/>
  <c r="E15" i="1"/>
  <c r="F15" i="1" l="1"/>
  <c r="A16" i="1"/>
  <c r="F13" i="1"/>
  <c r="B16" i="1"/>
  <c r="E16" i="1"/>
  <c r="C16" i="1"/>
  <c r="D16" i="1"/>
  <c r="F16" i="1" l="1"/>
  <c r="A17" i="1"/>
  <c r="B17" i="1"/>
  <c r="C17" i="1"/>
  <c r="E17" i="1"/>
  <c r="D17" i="1"/>
  <c r="F17" i="1" l="1"/>
  <c r="A18" i="1"/>
  <c r="C18" i="1"/>
  <c r="E18" i="1"/>
  <c r="D18" i="1"/>
  <c r="B18" i="1"/>
  <c r="F18" i="1" l="1"/>
  <c r="A19" i="1"/>
  <c r="E19" i="1"/>
  <c r="D19" i="1"/>
  <c r="B19" i="1"/>
  <c r="C19" i="1"/>
  <c r="F19" i="1" l="1"/>
  <c r="A20" i="1"/>
  <c r="B20" i="1"/>
  <c r="D20" i="1"/>
  <c r="C20" i="1"/>
  <c r="E20" i="1"/>
  <c r="F20" i="1" l="1"/>
  <c r="A21" i="1"/>
  <c r="E21" i="1"/>
  <c r="D21" i="1"/>
  <c r="B21" i="1"/>
  <c r="C21" i="1"/>
  <c r="F21" i="1" l="1"/>
  <c r="A22" i="1"/>
  <c r="C22" i="1"/>
  <c r="D22" i="1"/>
  <c r="B22" i="1"/>
  <c r="E22" i="1"/>
  <c r="F22" i="1" l="1"/>
  <c r="A23" i="1"/>
  <c r="C23" i="1"/>
  <c r="D23" i="1"/>
  <c r="E23" i="1"/>
  <c r="B23" i="1"/>
  <c r="F23" i="1" l="1"/>
  <c r="A24" i="1"/>
  <c r="C24" i="1"/>
  <c r="E24" i="1"/>
  <c r="D24" i="1"/>
  <c r="B24" i="1"/>
  <c r="F24" i="1" l="1"/>
  <c r="A25" i="1"/>
  <c r="D25" i="1"/>
  <c r="E25" i="1"/>
  <c r="C25" i="1"/>
  <c r="B25" i="1"/>
  <c r="F25" i="1" l="1"/>
  <c r="A26" i="1"/>
  <c r="D26" i="1"/>
  <c r="E26" i="1"/>
  <c r="C26" i="1"/>
  <c r="B26" i="1"/>
  <c r="F26" i="1" l="1"/>
  <c r="A27" i="1"/>
  <c r="B27" i="1"/>
  <c r="D27" i="1"/>
  <c r="C27" i="1"/>
  <c r="E27" i="1"/>
  <c r="F27" i="1" l="1"/>
  <c r="A28" i="1"/>
  <c r="C28" i="1"/>
  <c r="E28" i="1"/>
  <c r="D28" i="1"/>
  <c r="B28" i="1"/>
  <c r="F28" i="1" l="1"/>
  <c r="A29" i="1"/>
  <c r="E29" i="1"/>
  <c r="D29" i="1"/>
  <c r="C29" i="1"/>
  <c r="B29" i="1"/>
  <c r="F29" i="1" l="1"/>
  <c r="A30" i="1"/>
  <c r="B30" i="1"/>
  <c r="E30" i="1"/>
  <c r="D30" i="1"/>
  <c r="C30" i="1"/>
  <c r="F30" i="1" l="1"/>
  <c r="A31" i="1"/>
  <c r="C31" i="1"/>
  <c r="E31" i="1"/>
  <c r="D31" i="1"/>
  <c r="B31" i="1"/>
  <c r="F31" i="1" l="1"/>
  <c r="A32" i="1"/>
  <c r="D32" i="1"/>
  <c r="C32" i="1"/>
  <c r="B32" i="1"/>
  <c r="E32" i="1"/>
  <c r="F32" i="1" l="1"/>
  <c r="A33" i="1"/>
  <c r="E33" i="1"/>
  <c r="B33" i="1"/>
  <c r="C33" i="1"/>
  <c r="D33" i="1"/>
  <c r="F33" i="1" l="1"/>
  <c r="A34" i="1"/>
  <c r="D34" i="1"/>
  <c r="C34" i="1"/>
  <c r="B34" i="1"/>
  <c r="E34" i="1"/>
  <c r="F34" i="1" l="1"/>
  <c r="A35" i="1"/>
  <c r="C35" i="1"/>
  <c r="E35" i="1"/>
  <c r="B35" i="1"/>
  <c r="D35" i="1"/>
  <c r="F35" i="1" l="1"/>
  <c r="A36" i="1"/>
  <c r="D36" i="1"/>
  <c r="B36" i="1"/>
  <c r="C36" i="1"/>
  <c r="E36" i="1"/>
  <c r="F36" i="1" l="1"/>
  <c r="A37" i="1"/>
  <c r="E37" i="1"/>
  <c r="D37" i="1"/>
  <c r="B37" i="1"/>
  <c r="C37" i="1"/>
  <c r="F37" i="1" l="1"/>
  <c r="A38" i="1"/>
  <c r="C38" i="1"/>
  <c r="D38" i="1"/>
  <c r="E38" i="1"/>
  <c r="B38" i="1"/>
  <c r="F38" i="1" l="1"/>
  <c r="A39" i="1"/>
  <c r="D39" i="1"/>
  <c r="B39" i="1"/>
  <c r="C39" i="1"/>
  <c r="E39" i="1"/>
  <c r="F39" i="1" l="1"/>
  <c r="A40" i="1"/>
  <c r="B40" i="1"/>
  <c r="E40" i="1"/>
  <c r="D40" i="1"/>
  <c r="C40" i="1"/>
  <c r="F40" i="1" l="1"/>
  <c r="A41" i="1"/>
  <c r="D41" i="1"/>
  <c r="E41" i="1"/>
  <c r="B41" i="1"/>
  <c r="C41" i="1"/>
  <c r="F41" i="1" l="1"/>
  <c r="A42" i="1"/>
  <c r="E42" i="1"/>
  <c r="C42" i="1"/>
  <c r="B42" i="1"/>
  <c r="D42" i="1"/>
  <c r="F42" i="1" l="1"/>
  <c r="A43" i="1"/>
  <c r="D43" i="1"/>
  <c r="B43" i="1"/>
  <c r="C43" i="1"/>
  <c r="E43" i="1"/>
  <c r="F43" i="1" l="1"/>
  <c r="A44" i="1"/>
  <c r="C44" i="1"/>
  <c r="E44" i="1"/>
  <c r="D44" i="1"/>
  <c r="B44" i="1"/>
  <c r="F44" i="1" l="1"/>
  <c r="A45" i="1"/>
  <c r="B45" i="1"/>
  <c r="E45" i="1"/>
  <c r="D45" i="1"/>
  <c r="C45" i="1"/>
  <c r="F45" i="1" l="1"/>
  <c r="A46" i="1"/>
  <c r="D46" i="1"/>
  <c r="E46" i="1"/>
  <c r="B46" i="1"/>
  <c r="C46" i="1"/>
  <c r="F46" i="1" l="1"/>
  <c r="A47" i="1"/>
  <c r="E47" i="1"/>
  <c r="B47" i="1"/>
  <c r="D47" i="1"/>
  <c r="C47" i="1"/>
  <c r="F47" i="1" l="1"/>
  <c r="A48" i="1"/>
  <c r="B48" i="1"/>
  <c r="E48" i="1"/>
  <c r="D48" i="1"/>
  <c r="C48" i="1"/>
  <c r="F48" i="1" l="1"/>
  <c r="A49" i="1"/>
  <c r="C49" i="1"/>
  <c r="D49" i="1"/>
  <c r="B49" i="1"/>
  <c r="E49" i="1"/>
  <c r="F49" i="1" l="1"/>
  <c r="A50" i="1"/>
  <c r="C50" i="1"/>
  <c r="B50" i="1"/>
  <c r="D50" i="1"/>
  <c r="E50" i="1"/>
  <c r="F50" i="1" l="1"/>
  <c r="A51" i="1"/>
  <c r="D51" i="1"/>
  <c r="B51" i="1"/>
  <c r="C51" i="1"/>
  <c r="E51" i="1"/>
  <c r="F51" i="1" l="1"/>
  <c r="A52" i="1"/>
  <c r="B52" i="1"/>
  <c r="E52" i="1"/>
  <c r="D52" i="1"/>
  <c r="C52" i="1"/>
  <c r="F52" i="1" l="1"/>
  <c r="A53" i="1"/>
  <c r="B53" i="1"/>
  <c r="E53" i="1"/>
  <c r="D53" i="1"/>
  <c r="C53" i="1"/>
  <c r="F53" i="1" l="1"/>
  <c r="A54" i="1"/>
  <c r="E54" i="1"/>
  <c r="B54" i="1"/>
  <c r="D54" i="1"/>
  <c r="C54" i="1"/>
  <c r="F54" i="1" l="1"/>
  <c r="A55" i="1"/>
  <c r="D55" i="1"/>
  <c r="B55" i="1"/>
  <c r="E55" i="1"/>
  <c r="C55" i="1"/>
  <c r="F55" i="1" l="1"/>
  <c r="A56" i="1"/>
  <c r="B56" i="1"/>
  <c r="C56" i="1"/>
  <c r="E56" i="1"/>
  <c r="D56" i="1"/>
  <c r="F56" i="1" l="1"/>
  <c r="A57" i="1"/>
  <c r="E57" i="1"/>
  <c r="C57" i="1"/>
  <c r="D57" i="1"/>
  <c r="B57" i="1"/>
  <c r="F57" i="1" l="1"/>
  <c r="A58" i="1"/>
  <c r="C58" i="1"/>
  <c r="D58" i="1"/>
  <c r="B58" i="1"/>
  <c r="E58" i="1"/>
  <c r="F58" i="1" l="1"/>
  <c r="A59" i="1"/>
  <c r="B59" i="1"/>
  <c r="E59" i="1"/>
  <c r="D59" i="1"/>
  <c r="C59" i="1"/>
  <c r="F59" i="1" l="1"/>
  <c r="A60" i="1"/>
  <c r="D60" i="1"/>
  <c r="B60" i="1"/>
  <c r="C60" i="1"/>
  <c r="E60" i="1"/>
  <c r="F60" i="1" l="1"/>
  <c r="A61" i="1"/>
  <c r="B61" i="1"/>
  <c r="C61" i="1"/>
  <c r="D61" i="1"/>
  <c r="E61" i="1"/>
  <c r="F61" i="1" l="1"/>
  <c r="A62" i="1"/>
  <c r="E62" i="1"/>
  <c r="D62" i="1"/>
  <c r="C62" i="1"/>
  <c r="B62" i="1"/>
  <c r="F62" i="1" l="1"/>
  <c r="A63" i="1"/>
  <c r="D63" i="1"/>
  <c r="E63" i="1"/>
  <c r="B63" i="1"/>
  <c r="C63" i="1"/>
  <c r="F63" i="1" l="1"/>
  <c r="A64" i="1"/>
  <c r="D64" i="1"/>
  <c r="E64" i="1"/>
  <c r="C64" i="1"/>
  <c r="B64" i="1"/>
  <c r="F64" i="1" l="1"/>
  <c r="A65" i="1"/>
  <c r="C65" i="1"/>
  <c r="E65" i="1"/>
  <c r="D65" i="1"/>
  <c r="B65" i="1"/>
  <c r="C11" i="1" l="1"/>
  <c r="B11" i="1"/>
  <c r="F7" i="1" s="1"/>
  <c r="F65" i="1"/>
  <c r="F11" i="1" s="1"/>
  <c r="F6" i="1" s="1"/>
  <c r="E11" i="1"/>
  <c r="D11" i="1"/>
</calcChain>
</file>

<file path=xl/sharedStrings.xml><?xml version="1.0" encoding="utf-8"?>
<sst xmlns="http://schemas.openxmlformats.org/spreadsheetml/2006/main" count="605" uniqueCount="28">
  <si>
    <t>How to create a workbook template for a new year:</t>
  </si>
  <si>
    <t>Allocated Holidays per Year:</t>
  </si>
  <si>
    <t>2. List the allowed spent time types in the area SpentTimeTypes.</t>
  </si>
  <si>
    <t>Week</t>
  </si>
  <si>
    <t>Holidays</t>
  </si>
  <si>
    <t>OPA</t>
  </si>
  <si>
    <t>Working Days</t>
  </si>
  <si>
    <t>Allocated</t>
  </si>
  <si>
    <t>Actual</t>
  </si>
  <si>
    <t>Diff</t>
  </si>
  <si>
    <t>Support</t>
  </si>
  <si>
    <t>DevOps-Team</t>
  </si>
  <si>
    <t>Kunden-Team</t>
  </si>
  <si>
    <t>Administration</t>
  </si>
  <si>
    <t>Thinktecture</t>
  </si>
  <si>
    <t>Allocated Hours</t>
  </si>
  <si>
    <t>Actual Hours</t>
  </si>
  <si>
    <t>Start</t>
  </si>
  <si>
    <t>End</t>
  </si>
  <si>
    <t>Title / Issue ID</t>
  </si>
  <si>
    <t>Type</t>
  </si>
  <si>
    <t>Comment</t>
  </si>
  <si>
    <t>Allocated Working Hours per Day:</t>
  </si>
  <si>
    <t>1. Select Year in the Name Box and enter the current year in the selected cell.</t>
  </si>
  <si>
    <t>4. Hide columns G-.</t>
  </si>
  <si>
    <t>5. Select the cell F1.</t>
  </si>
  <si>
    <t>6. Protect this sheet and the workbook.</t>
  </si>
  <si>
    <t>3. Determine the number of working days for each week and fill out the range AllocatedWorkingDays accordingly.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</si>
</sst>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h]&quot;:&quot;mm&quot;:&quot;ss;@"/>
    <numFmt numFmtId="165" formatCode="yyyy\-mm\-dd&quot; &quot;hh&quot;:&quot;mm"/>
    <numFmt numFmtId="166" formatCode="0.000"/>
  </numFmts>
  <fonts count="2" x14ac:knownFonts="1">
    <font>
      <sz val="10"/>
      <color rgb="FF000000"/>
      <name val="Tahoma"/>
      <family val="2"/>
    </font>
    <font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</fills>
  <borders count="22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" fillId="2" borderId="0" applyNumberFormat="0" applyFont="0" applyBorder="0" applyAlignment="0" applyProtection="0"/>
  </cellStyleXfs>
  <cellXfs count="56">
    <xf numFmtId="0" fontId="0" fillId="0" borderId="0" xfId="0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1" xfId="0" applyBorder="1" applyProtection="1">
      <protection locked="0"/>
    </xf>
    <xf numFmtId="0" fontId="0" fillId="0" borderId="11" xfId="0" applyBorder="1" applyProtection="1"/>
    <xf numFmtId="0" fontId="0" fillId="0" borderId="0" xfId="0" applyFill="1" applyAlignment="1" applyProtection="1">
      <alignment horizontal="left"/>
      <protection locked="0"/>
    </xf>
    <xf numFmtId="0" fontId="0" fillId="0" borderId="0" xfId="0" applyProtection="1"/>
    <xf numFmtId="0" fontId="0" fillId="0" borderId="2" xfId="0" applyBorder="1" applyAlignment="1" applyProtection="1">
      <alignment horizontal="center"/>
    </xf>
    <xf numFmtId="164" fontId="0" fillId="0" borderId="2" xfId="0" applyNumberFormat="1" applyBorder="1" applyProtection="1"/>
    <xf numFmtId="0" fontId="0" fillId="0" borderId="2" xfId="0" applyFill="1" applyBorder="1" applyAlignment="1" applyProtection="1">
      <alignment horizontal="center"/>
    </xf>
    <xf numFmtId="165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165" fontId="0" fillId="0" borderId="11" xfId="0" applyNumberFormat="1" applyBorder="1" applyProtection="1">
      <protection locked="0"/>
    </xf>
    <xf numFmtId="165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165" fontId="0" fillId="0" borderId="18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8" xfId="0" applyBorder="1" applyProtection="1"/>
    <xf numFmtId="0" fontId="0" fillId="0" borderId="3" xfId="0" applyBorder="1" applyProtection="1">
      <protection locked="0"/>
    </xf>
    <xf numFmtId="166" fontId="0" fillId="0" borderId="7" xfId="0" applyNumberFormat="1" applyBorder="1" applyAlignment="1" applyProtection="1">
      <alignment horizontal="right" vertical="center"/>
    </xf>
    <xf numFmtId="166" fontId="0" fillId="0" borderId="2" xfId="0" applyNumberFormat="1" applyBorder="1" applyProtection="1"/>
    <xf numFmtId="166" fontId="0" fillId="0" borderId="17" xfId="0" applyNumberFormat="1" applyBorder="1" applyProtection="1">
      <protection locked="0"/>
    </xf>
    <xf numFmtId="166" fontId="0" fillId="0" borderId="11" xfId="0" applyNumberFormat="1" applyBorder="1" applyProtection="1">
      <protection locked="0"/>
    </xf>
    <xf numFmtId="166" fontId="0" fillId="0" borderId="7" xfId="0" applyNumberFormat="1" applyBorder="1" applyProtection="1">
      <protection locked="0"/>
    </xf>
    <xf numFmtId="166" fontId="0" fillId="0" borderId="18" xfId="0" applyNumberFormat="1" applyBorder="1" applyProtection="1">
      <protection locked="0"/>
    </xf>
    <xf numFmtId="166" fontId="0" fillId="0" borderId="11" xfId="0" applyNumberFormat="1" applyBorder="1" applyProtection="1"/>
    <xf numFmtId="166" fontId="0" fillId="0" borderId="18" xfId="0" applyNumberFormat="1" applyBorder="1" applyProtection="1"/>
    <xf numFmtId="166" fontId="0" fillId="0" borderId="0" xfId="0" applyNumberFormat="1" applyProtection="1">
      <protection locked="0"/>
    </xf>
    <xf numFmtId="166" fontId="0" fillId="0" borderId="0" xfId="0" applyNumberFormat="1" applyProtection="1"/>
    <xf numFmtId="166" fontId="0" fillId="0" borderId="13" xfId="0" applyNumberFormat="1" applyBorder="1" applyProtection="1"/>
    <xf numFmtId="166" fontId="0" fillId="0" borderId="14" xfId="0" applyNumberFormat="1" applyBorder="1" applyProtection="1"/>
    <xf numFmtId="166" fontId="0" fillId="0" borderId="15" xfId="0" applyNumberFormat="1" applyBorder="1" applyProtection="1"/>
    <xf numFmtId="166" fontId="0" fillId="0" borderId="19" xfId="0" applyNumberFormat="1" applyBorder="1" applyProtection="1"/>
    <xf numFmtId="166" fontId="0" fillId="0" borderId="20" xfId="0" applyNumberFormat="1" applyBorder="1" applyProtection="1"/>
    <xf numFmtId="166" fontId="0" fillId="0" borderId="21" xfId="0" applyNumberFormat="1" applyBorder="1" applyProtection="1"/>
    <xf numFmtId="166" fontId="0" fillId="0" borderId="8" xfId="0" applyNumberFormat="1" applyBorder="1" applyAlignment="1" applyProtection="1">
      <alignment horizontal="right" vertical="center"/>
    </xf>
    <xf numFmtId="166" fontId="0" fillId="0" borderId="9" xfId="0" applyNumberFormat="1" applyBorder="1" applyAlignment="1" applyProtection="1">
      <alignment horizontal="right" vertical="center"/>
    </xf>
    <xf numFmtId="166" fontId="0" fillId="0" borderId="10" xfId="0" applyNumberFormat="1" applyBorder="1" applyAlignment="1" applyProtection="1">
      <alignment horizontal="right" vertical="center"/>
    </xf>
    <xf numFmtId="0" fontId="0" fillId="0" borderId="0" xfId="0"/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Protection="1"/>
    <xf numFmtId="0" fontId="0" fillId="0" borderId="1" xfId="0" applyFill="1" applyBorder="1" applyProtection="1"/>
    <xf numFmtId="0" fontId="0" fillId="0" borderId="2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/>
    </xf>
    <xf numFmtId="0" fontId="0" fillId="0" borderId="16" xfId="0" applyBorder="1"/>
    <xf numFmtId="0" fontId="0" fillId="0" borderId="0" xfId="0"/>
    <xf numFmtId="0" fontId="0" fillId="0" borderId="1" xfId="0" applyBorder="1"/>
  </cellXfs>
  <cellStyles count="2">
    <cellStyle name="cf1" xfId="1" xr:uid="{00000000-0005-0000-0000-000000000000}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ummary"/>
  <dimension ref="A1:IV71"/>
  <sheetViews>
    <sheetView tabSelected="1" workbookViewId="0">
      <selection activeCell="F1" sqref="F1"/>
    </sheetView>
  </sheetViews>
  <sheetFormatPr defaultColWidth="0" defaultRowHeight="12.75" zeroHeight="1" x14ac:dyDescent="0.2"/>
  <cols>
    <col min="1" max="1" width="5.7109375" customWidth="1"/>
    <col min="2" max="6" width="8.7109375" customWidth="1"/>
    <col min="7" max="8" width="9" hidden="1"/>
    <col min="9" max="9" width="13.42578125" hidden="1"/>
    <col min="10" max="256" width="9" hidden="1"/>
    <col min="257" max="16384" width="9.140625" hidden="1"/>
  </cols>
  <sheetData>
    <row r="1" spans="1:9" s="2" customFormat="1" x14ac:dyDescent="0.2">
      <c r="A1" s="49" t="s">
        <v>22</v>
      </c>
      <c r="B1" s="49"/>
      <c r="C1" s="49"/>
      <c r="D1" s="49"/>
      <c r="E1" s="49"/>
      <c r="F1" s="1">
        <f>40/5/24*1</f>
        <v>0.33333333333333331</v>
      </c>
      <c r="G1" s="15"/>
      <c r="I1" s="2" t="s">
        <v>0</v>
      </c>
    </row>
    <row r="2" spans="1:9" s="2" customFormat="1" x14ac:dyDescent="0.2">
      <c r="A2" s="49" t="s">
        <v>1</v>
      </c>
      <c r="B2" s="49"/>
      <c r="C2" s="49"/>
      <c r="D2" s="49"/>
      <c r="E2" s="49"/>
      <c r="F2" s="36">
        <v>26</v>
      </c>
      <c r="G2" s="15"/>
      <c r="I2" s="2" t="s">
        <v>23</v>
      </c>
    </row>
    <row r="3" spans="1:9" s="2" customFormat="1" x14ac:dyDescent="0.2">
      <c r="A3" s="49" t="str">
        <f>Year-1 &amp; " Overtime Carry-Over (Days):"</f>
        <v>2018 Overtime Carry-Over (Days):</v>
      </c>
      <c r="B3" s="49"/>
      <c r="C3" s="49"/>
      <c r="D3" s="49"/>
      <c r="E3" s="49"/>
      <c r="F3" s="36"/>
      <c r="G3" s="15"/>
      <c r="I3" s="2" t="s">
        <v>2</v>
      </c>
    </row>
    <row r="4" spans="1:9" s="2" customFormat="1" x14ac:dyDescent="0.2">
      <c r="A4" s="49" t="str">
        <f>Year-1 &amp; " Holidays Carry-Over:"</f>
        <v>2018 Holidays Carry-Over:</v>
      </c>
      <c r="B4" s="49"/>
      <c r="C4" s="49"/>
      <c r="D4" s="49"/>
      <c r="E4" s="49"/>
      <c r="F4" s="36"/>
      <c r="G4" s="15"/>
      <c r="I4" s="2" t="s">
        <v>27</v>
      </c>
    </row>
    <row r="5" spans="1:9" s="2" customFormat="1" x14ac:dyDescent="0.2">
      <c r="A5" s="49"/>
      <c r="B5" s="49"/>
      <c r="C5" s="49"/>
      <c r="D5" s="49"/>
      <c r="E5" s="49"/>
      <c r="F5" s="49"/>
      <c r="G5" s="15"/>
      <c r="I5" s="2" t="s">
        <v>24</v>
      </c>
    </row>
    <row r="6" spans="1:9" s="2" customFormat="1" x14ac:dyDescent="0.2">
      <c r="A6" s="49" t="str">
        <f>Year &amp; " Overtime (Days):"</f>
        <v>2019 Overtime (Days):</v>
      </c>
      <c r="B6" s="49"/>
      <c r="C6" s="49"/>
      <c r="D6" s="49"/>
      <c r="E6" s="49"/>
      <c r="F6" s="37">
        <f ca="1">F3+OvertimeDays</f>
        <v>0</v>
      </c>
      <c r="G6" s="15"/>
      <c r="I6" s="2" t="s">
        <v>25</v>
      </c>
    </row>
    <row r="7" spans="1:9" s="2" customFormat="1" x14ac:dyDescent="0.2">
      <c r="A7" s="49" t="str">
        <f>Year &amp; " Remaining Holidays:"</f>
        <v>2019 Remaining Holidays:</v>
      </c>
      <c r="B7" s="49"/>
      <c r="C7" s="49"/>
      <c r="D7" s="49"/>
      <c r="E7" s="49"/>
      <c r="F7" s="37">
        <f ca="1">F4+F2-ActualHolidays</f>
        <v>26</v>
      </c>
      <c r="G7" s="15"/>
      <c r="I7" s="2" t="s">
        <v>26</v>
      </c>
    </row>
    <row r="8" spans="1:9" s="2" customFormat="1" ht="13.5" thickBot="1" x14ac:dyDescent="0.25">
      <c r="A8" s="50"/>
      <c r="B8" s="50"/>
      <c r="C8" s="50"/>
      <c r="D8" s="50"/>
      <c r="E8" s="50"/>
      <c r="F8" s="50"/>
      <c r="G8" s="15"/>
    </row>
    <row r="9" spans="1:9" s="2" customFormat="1" ht="13.5" thickBot="1" x14ac:dyDescent="0.25">
      <c r="A9" s="51" t="s">
        <v>3</v>
      </c>
      <c r="B9" s="51" t="s">
        <v>4</v>
      </c>
      <c r="C9" s="51" t="s">
        <v>5</v>
      </c>
      <c r="D9" s="52" t="s">
        <v>6</v>
      </c>
      <c r="E9" s="52"/>
      <c r="F9" s="52"/>
      <c r="G9" s="48" t="s">
        <v>7</v>
      </c>
    </row>
    <row r="10" spans="1:9" s="2" customFormat="1" ht="13.5" thickBot="1" x14ac:dyDescent="0.25">
      <c r="A10" s="51"/>
      <c r="B10" s="51"/>
      <c r="C10" s="51"/>
      <c r="D10" s="3" t="s">
        <v>7</v>
      </c>
      <c r="E10" s="4" t="s">
        <v>8</v>
      </c>
      <c r="F10" s="5" t="s">
        <v>9</v>
      </c>
      <c r="G10" s="48"/>
    </row>
    <row r="11" spans="1:9" s="2" customFormat="1" x14ac:dyDescent="0.2">
      <c r="A11" s="6" t="str">
        <f>"1-" &amp; NumberOfWeeks</f>
        <v>1-52</v>
      </c>
      <c r="B11" s="28">
        <f t="shared" ref="B11:G11" ca="1" si="0">SUM(B$13:B$65)</f>
        <v>0</v>
      </c>
      <c r="C11" s="28">
        <f t="shared" ca="1" si="0"/>
        <v>0</v>
      </c>
      <c r="D11" s="44">
        <f t="shared" ca="1" si="0"/>
        <v>0</v>
      </c>
      <c r="E11" s="45">
        <f t="shared" ca="1" si="0"/>
        <v>0</v>
      </c>
      <c r="F11" s="46">
        <f t="shared" ca="1" si="0"/>
        <v>0</v>
      </c>
      <c r="G11" s="46">
        <f t="shared" si="0"/>
        <v>254.5</v>
      </c>
      <c r="I11" s="2">
        <v>2019</v>
      </c>
    </row>
    <row r="12" spans="1:9" s="2" customFormat="1" x14ac:dyDescent="0.2">
      <c r="A12" s="7"/>
      <c r="B12" s="7"/>
      <c r="C12" s="8"/>
      <c r="D12" s="9"/>
      <c r="E12" s="10"/>
      <c r="F12" s="11"/>
      <c r="G12" s="13"/>
    </row>
    <row r="13" spans="1:9" s="2" customFormat="1" x14ac:dyDescent="0.2">
      <c r="A13" s="13">
        <f t="shared" ref="A13:A44" si="1">$A12+1</f>
        <v>1</v>
      </c>
      <c r="B13" s="34">
        <f t="shared" ref="B13:B61" ca="1" si="2">INDIRECT("Week" &amp; TEXT($A13, "00") &amp; "!ActualHolidays")</f>
        <v>0</v>
      </c>
      <c r="C13" s="34">
        <f t="shared" ref="C13:C61" ca="1" si="3">INDIRECT("Week" &amp; TEXT($A13, "00") &amp; "!OtherPaidAbsences")</f>
        <v>0</v>
      </c>
      <c r="D13" s="38">
        <f t="shared" ref="D13:D44" ca="1" si="4">INDIRECT("Week" &amp; TEXT($A13, "00") &amp; "!AllocatedHours")/AllocatedDailyWorkingFraction</f>
        <v>0</v>
      </c>
      <c r="E13" s="39">
        <f t="shared" ref="E13:E44" ca="1" si="5">INDIRECT("Week" &amp; TEXT($A13, "00") &amp; "!ActualHours")/AllocatedDailyWorkingFraction</f>
        <v>0</v>
      </c>
      <c r="F13" s="40">
        <f t="shared" ref="F13:F44" ca="1" si="6">$E13-$D13</f>
        <v>0</v>
      </c>
      <c r="G13" s="34">
        <v>2.875</v>
      </c>
      <c r="I13" s="14" t="s">
        <v>10</v>
      </c>
    </row>
    <row r="14" spans="1:9" s="2" customFormat="1" x14ac:dyDescent="0.2">
      <c r="A14" s="13">
        <f t="shared" si="1"/>
        <v>2</v>
      </c>
      <c r="B14" s="34">
        <f t="shared" ca="1" si="2"/>
        <v>0</v>
      </c>
      <c r="C14" s="34">
        <f t="shared" ca="1" si="3"/>
        <v>0</v>
      </c>
      <c r="D14" s="38">
        <f t="shared" ca="1" si="4"/>
        <v>0</v>
      </c>
      <c r="E14" s="39">
        <f t="shared" ca="1" si="5"/>
        <v>0</v>
      </c>
      <c r="F14" s="40">
        <f t="shared" ca="1" si="6"/>
        <v>0</v>
      </c>
      <c r="G14" s="34">
        <v>5</v>
      </c>
      <c r="I14" s="2" t="s">
        <v>11</v>
      </c>
    </row>
    <row r="15" spans="1:9" s="2" customFormat="1" x14ac:dyDescent="0.2">
      <c r="A15" s="13">
        <f t="shared" si="1"/>
        <v>3</v>
      </c>
      <c r="B15" s="34">
        <f t="shared" ca="1" si="2"/>
        <v>0</v>
      </c>
      <c r="C15" s="34">
        <f t="shared" ca="1" si="3"/>
        <v>0</v>
      </c>
      <c r="D15" s="38">
        <f t="shared" ca="1" si="4"/>
        <v>0</v>
      </c>
      <c r="E15" s="39">
        <f t="shared" ca="1" si="5"/>
        <v>0</v>
      </c>
      <c r="F15" s="40">
        <f t="shared" ca="1" si="6"/>
        <v>0</v>
      </c>
      <c r="G15" s="34">
        <v>5</v>
      </c>
      <c r="I15" s="2" t="s">
        <v>12</v>
      </c>
    </row>
    <row r="16" spans="1:9" s="2" customFormat="1" x14ac:dyDescent="0.2">
      <c r="A16" s="13">
        <f t="shared" si="1"/>
        <v>4</v>
      </c>
      <c r="B16" s="34">
        <f t="shared" ca="1" si="2"/>
        <v>0</v>
      </c>
      <c r="C16" s="34">
        <f t="shared" ca="1" si="3"/>
        <v>0</v>
      </c>
      <c r="D16" s="38">
        <f t="shared" ca="1" si="4"/>
        <v>0</v>
      </c>
      <c r="E16" s="39">
        <f t="shared" ca="1" si="5"/>
        <v>0</v>
      </c>
      <c r="F16" s="40">
        <f t="shared" ca="1" si="6"/>
        <v>0</v>
      </c>
      <c r="G16" s="34">
        <v>5</v>
      </c>
      <c r="I16" s="2" t="s">
        <v>13</v>
      </c>
    </row>
    <row r="17" spans="1:9" s="2" customFormat="1" x14ac:dyDescent="0.2">
      <c r="A17" s="13">
        <f t="shared" si="1"/>
        <v>5</v>
      </c>
      <c r="B17" s="34">
        <f t="shared" ca="1" si="2"/>
        <v>0</v>
      </c>
      <c r="C17" s="34">
        <f t="shared" ca="1" si="3"/>
        <v>0</v>
      </c>
      <c r="D17" s="38">
        <f t="shared" ca="1" si="4"/>
        <v>0</v>
      </c>
      <c r="E17" s="39">
        <f t="shared" ca="1" si="5"/>
        <v>0</v>
      </c>
      <c r="F17" s="40">
        <f t="shared" ca="1" si="6"/>
        <v>0</v>
      </c>
      <c r="G17" s="34">
        <v>5</v>
      </c>
      <c r="I17" s="2" t="s">
        <v>14</v>
      </c>
    </row>
    <row r="18" spans="1:9" s="2" customFormat="1" x14ac:dyDescent="0.2">
      <c r="A18" s="13">
        <f t="shared" si="1"/>
        <v>6</v>
      </c>
      <c r="B18" s="34">
        <f t="shared" ca="1" si="2"/>
        <v>0</v>
      </c>
      <c r="C18" s="34">
        <f t="shared" ca="1" si="3"/>
        <v>0</v>
      </c>
      <c r="D18" s="38">
        <f t="shared" ca="1" si="4"/>
        <v>0</v>
      </c>
      <c r="E18" s="39">
        <f t="shared" ca="1" si="5"/>
        <v>0</v>
      </c>
      <c r="F18" s="40">
        <f t="shared" ca="1" si="6"/>
        <v>0</v>
      </c>
      <c r="G18" s="34">
        <v>5</v>
      </c>
    </row>
    <row r="19" spans="1:9" s="2" customFormat="1" x14ac:dyDescent="0.2">
      <c r="A19" s="13">
        <f t="shared" si="1"/>
        <v>7</v>
      </c>
      <c r="B19" s="34">
        <f t="shared" ca="1" si="2"/>
        <v>0</v>
      </c>
      <c r="C19" s="34">
        <f t="shared" ca="1" si="3"/>
        <v>0</v>
      </c>
      <c r="D19" s="38">
        <f t="shared" ca="1" si="4"/>
        <v>0</v>
      </c>
      <c r="E19" s="39">
        <f t="shared" ca="1" si="5"/>
        <v>0</v>
      </c>
      <c r="F19" s="40">
        <f t="shared" ca="1" si="6"/>
        <v>0</v>
      </c>
      <c r="G19" s="34">
        <v>5</v>
      </c>
      <c r="I19" s="2">
        <f>IF(WEEKNUM(DATE(Year,12,31),21)=53,53,52)</f>
        <v>52</v>
      </c>
    </row>
    <row r="20" spans="1:9" s="2" customFormat="1" x14ac:dyDescent="0.2">
      <c r="A20" s="13">
        <f t="shared" si="1"/>
        <v>8</v>
      </c>
      <c r="B20" s="34">
        <f t="shared" ca="1" si="2"/>
        <v>0</v>
      </c>
      <c r="C20" s="34">
        <f t="shared" ca="1" si="3"/>
        <v>0</v>
      </c>
      <c r="D20" s="38">
        <f t="shared" ca="1" si="4"/>
        <v>0</v>
      </c>
      <c r="E20" s="39">
        <f t="shared" ca="1" si="5"/>
        <v>0</v>
      </c>
      <c r="F20" s="40">
        <f t="shared" ca="1" si="6"/>
        <v>0</v>
      </c>
      <c r="G20" s="34">
        <v>5</v>
      </c>
    </row>
    <row r="21" spans="1:9" s="2" customFormat="1" x14ac:dyDescent="0.2">
      <c r="A21" s="13">
        <f t="shared" si="1"/>
        <v>9</v>
      </c>
      <c r="B21" s="34">
        <f t="shared" ca="1" si="2"/>
        <v>0</v>
      </c>
      <c r="C21" s="34">
        <f t="shared" ca="1" si="3"/>
        <v>0</v>
      </c>
      <c r="D21" s="38">
        <f t="shared" ca="1" si="4"/>
        <v>0</v>
      </c>
      <c r="E21" s="39">
        <f t="shared" ca="1" si="5"/>
        <v>0</v>
      </c>
      <c r="F21" s="40">
        <f t="shared" ca="1" si="6"/>
        <v>0</v>
      </c>
      <c r="G21" s="34">
        <v>5</v>
      </c>
    </row>
    <row r="22" spans="1:9" s="2" customFormat="1" x14ac:dyDescent="0.2">
      <c r="A22" s="13">
        <f t="shared" si="1"/>
        <v>10</v>
      </c>
      <c r="B22" s="34">
        <f t="shared" ca="1" si="2"/>
        <v>0</v>
      </c>
      <c r="C22" s="34">
        <f t="shared" ca="1" si="3"/>
        <v>0</v>
      </c>
      <c r="D22" s="38">
        <f t="shared" ca="1" si="4"/>
        <v>0</v>
      </c>
      <c r="E22" s="39">
        <f t="shared" ca="1" si="5"/>
        <v>0</v>
      </c>
      <c r="F22" s="40">
        <f t="shared" ca="1" si="6"/>
        <v>0</v>
      </c>
      <c r="G22" s="34">
        <v>5</v>
      </c>
    </row>
    <row r="23" spans="1:9" s="2" customFormat="1" x14ac:dyDescent="0.2">
      <c r="A23" s="13">
        <f t="shared" si="1"/>
        <v>11</v>
      </c>
      <c r="B23" s="34">
        <f t="shared" ca="1" si="2"/>
        <v>0</v>
      </c>
      <c r="C23" s="34">
        <f t="shared" ca="1" si="3"/>
        <v>0</v>
      </c>
      <c r="D23" s="38">
        <f t="shared" ca="1" si="4"/>
        <v>0</v>
      </c>
      <c r="E23" s="39">
        <f t="shared" ca="1" si="5"/>
        <v>0</v>
      </c>
      <c r="F23" s="40">
        <f t="shared" ca="1" si="6"/>
        <v>0</v>
      </c>
      <c r="G23" s="34">
        <v>5</v>
      </c>
    </row>
    <row r="24" spans="1:9" s="2" customFormat="1" x14ac:dyDescent="0.2">
      <c r="A24" s="13">
        <f t="shared" si="1"/>
        <v>12</v>
      </c>
      <c r="B24" s="34">
        <f t="shared" ca="1" si="2"/>
        <v>0</v>
      </c>
      <c r="C24" s="34">
        <f t="shared" ca="1" si="3"/>
        <v>0</v>
      </c>
      <c r="D24" s="38">
        <f t="shared" ca="1" si="4"/>
        <v>0</v>
      </c>
      <c r="E24" s="39">
        <f t="shared" ca="1" si="5"/>
        <v>0</v>
      </c>
      <c r="F24" s="40">
        <f t="shared" ca="1" si="6"/>
        <v>0</v>
      </c>
      <c r="G24" s="34">
        <v>5</v>
      </c>
    </row>
    <row r="25" spans="1:9" s="2" customFormat="1" x14ac:dyDescent="0.2">
      <c r="A25" s="13">
        <f t="shared" si="1"/>
        <v>13</v>
      </c>
      <c r="B25" s="34">
        <f t="shared" ca="1" si="2"/>
        <v>0</v>
      </c>
      <c r="C25" s="34">
        <f t="shared" ca="1" si="3"/>
        <v>0</v>
      </c>
      <c r="D25" s="38">
        <f t="shared" ca="1" si="4"/>
        <v>0</v>
      </c>
      <c r="E25" s="39">
        <f t="shared" ca="1" si="5"/>
        <v>0</v>
      </c>
      <c r="F25" s="40">
        <f t="shared" ca="1" si="6"/>
        <v>0</v>
      </c>
      <c r="G25" s="34">
        <v>5</v>
      </c>
    </row>
    <row r="26" spans="1:9" s="2" customFormat="1" x14ac:dyDescent="0.2">
      <c r="A26" s="13">
        <f t="shared" si="1"/>
        <v>14</v>
      </c>
      <c r="B26" s="34">
        <f t="shared" ca="1" si="2"/>
        <v>0</v>
      </c>
      <c r="C26" s="34">
        <f t="shared" ca="1" si="3"/>
        <v>0</v>
      </c>
      <c r="D26" s="38">
        <f t="shared" ca="1" si="4"/>
        <v>0</v>
      </c>
      <c r="E26" s="39">
        <f t="shared" ca="1" si="5"/>
        <v>0</v>
      </c>
      <c r="F26" s="40">
        <f t="shared" ca="1" si="6"/>
        <v>0</v>
      </c>
      <c r="G26" s="34">
        <v>5</v>
      </c>
    </row>
    <row r="27" spans="1:9" s="2" customFormat="1" x14ac:dyDescent="0.2">
      <c r="A27" s="13">
        <f t="shared" si="1"/>
        <v>15</v>
      </c>
      <c r="B27" s="34">
        <f t="shared" ca="1" si="2"/>
        <v>0</v>
      </c>
      <c r="C27" s="34">
        <f t="shared" ca="1" si="3"/>
        <v>0</v>
      </c>
      <c r="D27" s="38">
        <f t="shared" ca="1" si="4"/>
        <v>0</v>
      </c>
      <c r="E27" s="39">
        <f t="shared" ca="1" si="5"/>
        <v>0</v>
      </c>
      <c r="F27" s="40">
        <f t="shared" ca="1" si="6"/>
        <v>0</v>
      </c>
      <c r="G27" s="34">
        <v>5</v>
      </c>
    </row>
    <row r="28" spans="1:9" s="2" customFormat="1" x14ac:dyDescent="0.2">
      <c r="A28" s="13">
        <f t="shared" si="1"/>
        <v>16</v>
      </c>
      <c r="B28" s="34">
        <f t="shared" ca="1" si="2"/>
        <v>0</v>
      </c>
      <c r="C28" s="34">
        <f t="shared" ca="1" si="3"/>
        <v>0</v>
      </c>
      <c r="D28" s="38">
        <f t="shared" ca="1" si="4"/>
        <v>0</v>
      </c>
      <c r="E28" s="39">
        <f t="shared" ca="1" si="5"/>
        <v>0</v>
      </c>
      <c r="F28" s="40">
        <f t="shared" ca="1" si="6"/>
        <v>0</v>
      </c>
      <c r="G28" s="34">
        <v>3.875</v>
      </c>
    </row>
    <row r="29" spans="1:9" s="2" customFormat="1" x14ac:dyDescent="0.2">
      <c r="A29" s="13">
        <f t="shared" si="1"/>
        <v>17</v>
      </c>
      <c r="B29" s="34">
        <f t="shared" ca="1" si="2"/>
        <v>0</v>
      </c>
      <c r="C29" s="34">
        <f t="shared" ca="1" si="3"/>
        <v>0</v>
      </c>
      <c r="D29" s="38">
        <f t="shared" ca="1" si="4"/>
        <v>0</v>
      </c>
      <c r="E29" s="39">
        <f t="shared" ca="1" si="5"/>
        <v>0</v>
      </c>
      <c r="F29" s="40">
        <f t="shared" ca="1" si="6"/>
        <v>0</v>
      </c>
      <c r="G29" s="34">
        <v>4</v>
      </c>
    </row>
    <row r="30" spans="1:9" s="2" customFormat="1" x14ac:dyDescent="0.2">
      <c r="A30" s="13">
        <f t="shared" si="1"/>
        <v>18</v>
      </c>
      <c r="B30" s="34">
        <f t="shared" ca="1" si="2"/>
        <v>0</v>
      </c>
      <c r="C30" s="34">
        <f t="shared" ca="1" si="3"/>
        <v>0</v>
      </c>
      <c r="D30" s="38">
        <f t="shared" ca="1" si="4"/>
        <v>0</v>
      </c>
      <c r="E30" s="39">
        <f t="shared" ca="1" si="5"/>
        <v>0</v>
      </c>
      <c r="F30" s="40">
        <f t="shared" ca="1" si="6"/>
        <v>0</v>
      </c>
      <c r="G30" s="34">
        <v>4</v>
      </c>
    </row>
    <row r="31" spans="1:9" s="2" customFormat="1" x14ac:dyDescent="0.2">
      <c r="A31" s="13">
        <f t="shared" si="1"/>
        <v>19</v>
      </c>
      <c r="B31" s="34">
        <f t="shared" ca="1" si="2"/>
        <v>0</v>
      </c>
      <c r="C31" s="34">
        <f t="shared" ca="1" si="3"/>
        <v>0</v>
      </c>
      <c r="D31" s="38">
        <f t="shared" ca="1" si="4"/>
        <v>0</v>
      </c>
      <c r="E31" s="39">
        <f t="shared" ca="1" si="5"/>
        <v>0</v>
      </c>
      <c r="F31" s="40">
        <f t="shared" ca="1" si="6"/>
        <v>0</v>
      </c>
      <c r="G31" s="34">
        <v>5</v>
      </c>
    </row>
    <row r="32" spans="1:9" s="2" customFormat="1" x14ac:dyDescent="0.2">
      <c r="A32" s="13">
        <f t="shared" si="1"/>
        <v>20</v>
      </c>
      <c r="B32" s="34">
        <f t="shared" ca="1" si="2"/>
        <v>0</v>
      </c>
      <c r="C32" s="34">
        <f t="shared" ca="1" si="3"/>
        <v>0</v>
      </c>
      <c r="D32" s="38">
        <f t="shared" ca="1" si="4"/>
        <v>0</v>
      </c>
      <c r="E32" s="39">
        <f t="shared" ca="1" si="5"/>
        <v>0</v>
      </c>
      <c r="F32" s="40">
        <f t="shared" ca="1" si="6"/>
        <v>0</v>
      </c>
      <c r="G32" s="34">
        <v>5</v>
      </c>
    </row>
    <row r="33" spans="1:7" s="2" customFormat="1" x14ac:dyDescent="0.2">
      <c r="A33" s="13">
        <f t="shared" si="1"/>
        <v>21</v>
      </c>
      <c r="B33" s="34">
        <f t="shared" ca="1" si="2"/>
        <v>0</v>
      </c>
      <c r="C33" s="34">
        <f t="shared" ca="1" si="3"/>
        <v>0</v>
      </c>
      <c r="D33" s="38">
        <f t="shared" ca="1" si="4"/>
        <v>0</v>
      </c>
      <c r="E33" s="39">
        <f t="shared" ca="1" si="5"/>
        <v>0</v>
      </c>
      <c r="F33" s="40">
        <f t="shared" ca="1" si="6"/>
        <v>0</v>
      </c>
      <c r="G33" s="34">
        <v>5</v>
      </c>
    </row>
    <row r="34" spans="1:7" s="2" customFormat="1" x14ac:dyDescent="0.2">
      <c r="A34" s="13">
        <f t="shared" si="1"/>
        <v>22</v>
      </c>
      <c r="B34" s="34">
        <f t="shared" ca="1" si="2"/>
        <v>0</v>
      </c>
      <c r="C34" s="34">
        <f t="shared" ca="1" si="3"/>
        <v>0</v>
      </c>
      <c r="D34" s="38">
        <f t="shared" ca="1" si="4"/>
        <v>0</v>
      </c>
      <c r="E34" s="39">
        <f t="shared" ca="1" si="5"/>
        <v>0</v>
      </c>
      <c r="F34" s="40">
        <f t="shared" ca="1" si="6"/>
        <v>0</v>
      </c>
      <c r="G34" s="34">
        <v>3.875</v>
      </c>
    </row>
    <row r="35" spans="1:7" s="2" customFormat="1" x14ac:dyDescent="0.2">
      <c r="A35" s="13">
        <f t="shared" si="1"/>
        <v>23</v>
      </c>
      <c r="B35" s="34">
        <f t="shared" ca="1" si="2"/>
        <v>0</v>
      </c>
      <c r="C35" s="34">
        <f t="shared" ca="1" si="3"/>
        <v>0</v>
      </c>
      <c r="D35" s="38">
        <f t="shared" ca="1" si="4"/>
        <v>0</v>
      </c>
      <c r="E35" s="39">
        <f t="shared" ca="1" si="5"/>
        <v>0</v>
      </c>
      <c r="F35" s="40">
        <f t="shared" ca="1" si="6"/>
        <v>0</v>
      </c>
      <c r="G35" s="34">
        <v>5</v>
      </c>
    </row>
    <row r="36" spans="1:7" s="2" customFormat="1" x14ac:dyDescent="0.2">
      <c r="A36" s="13">
        <f t="shared" si="1"/>
        <v>24</v>
      </c>
      <c r="B36" s="34">
        <f t="shared" ca="1" si="2"/>
        <v>0</v>
      </c>
      <c r="C36" s="34">
        <f t="shared" ca="1" si="3"/>
        <v>0</v>
      </c>
      <c r="D36" s="38">
        <f t="shared" ca="1" si="4"/>
        <v>0</v>
      </c>
      <c r="E36" s="39">
        <f t="shared" ca="1" si="5"/>
        <v>0</v>
      </c>
      <c r="F36" s="40">
        <f t="shared" ca="1" si="6"/>
        <v>0</v>
      </c>
      <c r="G36" s="34">
        <v>4</v>
      </c>
    </row>
    <row r="37" spans="1:7" s="2" customFormat="1" x14ac:dyDescent="0.2">
      <c r="A37" s="13">
        <f t="shared" si="1"/>
        <v>25</v>
      </c>
      <c r="B37" s="34">
        <f t="shared" ca="1" si="2"/>
        <v>0</v>
      </c>
      <c r="C37" s="34">
        <f t="shared" ca="1" si="3"/>
        <v>0</v>
      </c>
      <c r="D37" s="38">
        <f t="shared" ca="1" si="4"/>
        <v>0</v>
      </c>
      <c r="E37" s="39">
        <f t="shared" ca="1" si="5"/>
        <v>0</v>
      </c>
      <c r="F37" s="40">
        <f t="shared" ca="1" si="6"/>
        <v>0</v>
      </c>
      <c r="G37" s="34">
        <v>5</v>
      </c>
    </row>
    <row r="38" spans="1:7" s="2" customFormat="1" x14ac:dyDescent="0.2">
      <c r="A38" s="13">
        <f t="shared" si="1"/>
        <v>26</v>
      </c>
      <c r="B38" s="34">
        <f t="shared" ca="1" si="2"/>
        <v>0</v>
      </c>
      <c r="C38" s="34">
        <f t="shared" ca="1" si="3"/>
        <v>0</v>
      </c>
      <c r="D38" s="38">
        <f t="shared" ca="1" si="4"/>
        <v>0</v>
      </c>
      <c r="E38" s="39">
        <f t="shared" ca="1" si="5"/>
        <v>0</v>
      </c>
      <c r="F38" s="40">
        <f t="shared" ca="1" si="6"/>
        <v>0</v>
      </c>
      <c r="G38" s="34">
        <v>5</v>
      </c>
    </row>
    <row r="39" spans="1:7" s="2" customFormat="1" x14ac:dyDescent="0.2">
      <c r="A39" s="13">
        <f t="shared" si="1"/>
        <v>27</v>
      </c>
      <c r="B39" s="34">
        <f t="shared" ca="1" si="2"/>
        <v>0</v>
      </c>
      <c r="C39" s="34">
        <f t="shared" ca="1" si="3"/>
        <v>0</v>
      </c>
      <c r="D39" s="38">
        <f t="shared" ca="1" si="4"/>
        <v>0</v>
      </c>
      <c r="E39" s="39">
        <f t="shared" ca="1" si="5"/>
        <v>0</v>
      </c>
      <c r="F39" s="40">
        <f t="shared" ca="1" si="6"/>
        <v>0</v>
      </c>
      <c r="G39" s="34">
        <v>5</v>
      </c>
    </row>
    <row r="40" spans="1:7" s="2" customFormat="1" x14ac:dyDescent="0.2">
      <c r="A40" s="13">
        <f t="shared" si="1"/>
        <v>28</v>
      </c>
      <c r="B40" s="34">
        <f t="shared" ca="1" si="2"/>
        <v>0</v>
      </c>
      <c r="C40" s="34">
        <f t="shared" ca="1" si="3"/>
        <v>0</v>
      </c>
      <c r="D40" s="38">
        <f t="shared" ca="1" si="4"/>
        <v>0</v>
      </c>
      <c r="E40" s="39">
        <f t="shared" ca="1" si="5"/>
        <v>0</v>
      </c>
      <c r="F40" s="40">
        <f t="shared" ca="1" si="6"/>
        <v>0</v>
      </c>
      <c r="G40" s="34">
        <v>5</v>
      </c>
    </row>
    <row r="41" spans="1:7" s="2" customFormat="1" x14ac:dyDescent="0.2">
      <c r="A41" s="13">
        <f t="shared" si="1"/>
        <v>29</v>
      </c>
      <c r="B41" s="34">
        <f t="shared" ca="1" si="2"/>
        <v>0</v>
      </c>
      <c r="C41" s="34">
        <f t="shared" ca="1" si="3"/>
        <v>0</v>
      </c>
      <c r="D41" s="38">
        <f t="shared" ca="1" si="4"/>
        <v>0</v>
      </c>
      <c r="E41" s="39">
        <f t="shared" ca="1" si="5"/>
        <v>0</v>
      </c>
      <c r="F41" s="40">
        <f t="shared" ca="1" si="6"/>
        <v>0</v>
      </c>
      <c r="G41" s="34">
        <v>5</v>
      </c>
    </row>
    <row r="42" spans="1:7" s="2" customFormat="1" x14ac:dyDescent="0.2">
      <c r="A42" s="13">
        <f t="shared" si="1"/>
        <v>30</v>
      </c>
      <c r="B42" s="34">
        <f t="shared" ca="1" si="2"/>
        <v>0</v>
      </c>
      <c r="C42" s="34">
        <f t="shared" ca="1" si="3"/>
        <v>0</v>
      </c>
      <c r="D42" s="38">
        <f t="shared" ca="1" si="4"/>
        <v>0</v>
      </c>
      <c r="E42" s="39">
        <f t="shared" ca="1" si="5"/>
        <v>0</v>
      </c>
      <c r="F42" s="40">
        <f t="shared" ca="1" si="6"/>
        <v>0</v>
      </c>
      <c r="G42" s="34">
        <v>5</v>
      </c>
    </row>
    <row r="43" spans="1:7" s="2" customFormat="1" x14ac:dyDescent="0.2">
      <c r="A43" s="13">
        <f t="shared" si="1"/>
        <v>31</v>
      </c>
      <c r="B43" s="34">
        <f t="shared" ca="1" si="2"/>
        <v>0</v>
      </c>
      <c r="C43" s="34">
        <f t="shared" ca="1" si="3"/>
        <v>0</v>
      </c>
      <c r="D43" s="38">
        <f t="shared" ca="1" si="4"/>
        <v>0</v>
      </c>
      <c r="E43" s="39">
        <f t="shared" ca="1" si="5"/>
        <v>0</v>
      </c>
      <c r="F43" s="40">
        <f t="shared" ca="1" si="6"/>
        <v>0</v>
      </c>
      <c r="G43" s="34">
        <v>4</v>
      </c>
    </row>
    <row r="44" spans="1:7" s="2" customFormat="1" x14ac:dyDescent="0.2">
      <c r="A44" s="13">
        <f t="shared" si="1"/>
        <v>32</v>
      </c>
      <c r="B44" s="34">
        <f t="shared" ca="1" si="2"/>
        <v>0</v>
      </c>
      <c r="C44" s="34">
        <f t="shared" ca="1" si="3"/>
        <v>0</v>
      </c>
      <c r="D44" s="38">
        <f t="shared" ca="1" si="4"/>
        <v>0</v>
      </c>
      <c r="E44" s="39">
        <f t="shared" ca="1" si="5"/>
        <v>0</v>
      </c>
      <c r="F44" s="40">
        <f t="shared" ca="1" si="6"/>
        <v>0</v>
      </c>
      <c r="G44" s="34">
        <v>5</v>
      </c>
    </row>
    <row r="45" spans="1:7" s="2" customFormat="1" x14ac:dyDescent="0.2">
      <c r="A45" s="13">
        <f t="shared" ref="A45:A65" si="7">$A44+1</f>
        <v>33</v>
      </c>
      <c r="B45" s="34">
        <f t="shared" ca="1" si="2"/>
        <v>0</v>
      </c>
      <c r="C45" s="34">
        <f t="shared" ca="1" si="3"/>
        <v>0</v>
      </c>
      <c r="D45" s="38">
        <f t="shared" ref="D45:D65" ca="1" si="8">INDIRECT("Week" &amp; TEXT($A45, "00") &amp; "!AllocatedHours")/AllocatedDailyWorkingFraction</f>
        <v>0</v>
      </c>
      <c r="E45" s="39">
        <f t="shared" ref="E45:E65" ca="1" si="9">INDIRECT("Week" &amp; TEXT($A45, "00") &amp; "!ActualHours")/AllocatedDailyWorkingFraction</f>
        <v>0</v>
      </c>
      <c r="F45" s="40">
        <f t="shared" ref="F45:F65" ca="1" si="10">$E45-$D45</f>
        <v>0</v>
      </c>
      <c r="G45" s="34">
        <v>5</v>
      </c>
    </row>
    <row r="46" spans="1:7" s="2" customFormat="1" x14ac:dyDescent="0.2">
      <c r="A46" s="13">
        <f t="shared" si="7"/>
        <v>34</v>
      </c>
      <c r="B46" s="34">
        <f t="shared" ca="1" si="2"/>
        <v>0</v>
      </c>
      <c r="C46" s="34">
        <f t="shared" ca="1" si="3"/>
        <v>0</v>
      </c>
      <c r="D46" s="38">
        <f t="shared" ca="1" si="8"/>
        <v>0</v>
      </c>
      <c r="E46" s="39">
        <f t="shared" ca="1" si="9"/>
        <v>0</v>
      </c>
      <c r="F46" s="40">
        <f t="shared" ca="1" si="10"/>
        <v>0</v>
      </c>
      <c r="G46" s="34">
        <v>5</v>
      </c>
    </row>
    <row r="47" spans="1:7" s="2" customFormat="1" x14ac:dyDescent="0.2">
      <c r="A47" s="13">
        <f t="shared" si="7"/>
        <v>35</v>
      </c>
      <c r="B47" s="34">
        <f t="shared" ca="1" si="2"/>
        <v>0</v>
      </c>
      <c r="C47" s="34">
        <f t="shared" ca="1" si="3"/>
        <v>0</v>
      </c>
      <c r="D47" s="38">
        <f t="shared" ca="1" si="8"/>
        <v>0</v>
      </c>
      <c r="E47" s="39">
        <f t="shared" ca="1" si="9"/>
        <v>0</v>
      </c>
      <c r="F47" s="40">
        <f t="shared" ca="1" si="10"/>
        <v>0</v>
      </c>
      <c r="G47" s="34">
        <v>5</v>
      </c>
    </row>
    <row r="48" spans="1:7" s="2" customFormat="1" x14ac:dyDescent="0.2">
      <c r="A48" s="13">
        <f t="shared" si="7"/>
        <v>36</v>
      </c>
      <c r="B48" s="34">
        <f t="shared" ca="1" si="2"/>
        <v>0</v>
      </c>
      <c r="C48" s="34">
        <f t="shared" ca="1" si="3"/>
        <v>0</v>
      </c>
      <c r="D48" s="38">
        <f t="shared" ca="1" si="8"/>
        <v>0</v>
      </c>
      <c r="E48" s="39">
        <f t="shared" ca="1" si="9"/>
        <v>0</v>
      </c>
      <c r="F48" s="40">
        <f t="shared" ca="1" si="10"/>
        <v>0</v>
      </c>
      <c r="G48" s="34">
        <v>5</v>
      </c>
    </row>
    <row r="49" spans="1:7" s="2" customFormat="1" x14ac:dyDescent="0.2">
      <c r="A49" s="13">
        <f t="shared" si="7"/>
        <v>37</v>
      </c>
      <c r="B49" s="34">
        <f t="shared" ca="1" si="2"/>
        <v>0</v>
      </c>
      <c r="C49" s="34">
        <f t="shared" ca="1" si="3"/>
        <v>0</v>
      </c>
      <c r="D49" s="38">
        <f t="shared" ca="1" si="8"/>
        <v>0</v>
      </c>
      <c r="E49" s="39">
        <f t="shared" ca="1" si="9"/>
        <v>0</v>
      </c>
      <c r="F49" s="40">
        <f t="shared" ca="1" si="10"/>
        <v>0</v>
      </c>
      <c r="G49" s="34">
        <v>5</v>
      </c>
    </row>
    <row r="50" spans="1:7" s="2" customFormat="1" x14ac:dyDescent="0.2">
      <c r="A50" s="13">
        <f t="shared" si="7"/>
        <v>38</v>
      </c>
      <c r="B50" s="34">
        <f t="shared" ca="1" si="2"/>
        <v>0</v>
      </c>
      <c r="C50" s="34">
        <f t="shared" ca="1" si="3"/>
        <v>0</v>
      </c>
      <c r="D50" s="38">
        <f t="shared" ca="1" si="8"/>
        <v>0</v>
      </c>
      <c r="E50" s="39">
        <f t="shared" ca="1" si="9"/>
        <v>0</v>
      </c>
      <c r="F50" s="40">
        <f t="shared" ca="1" si="10"/>
        <v>0</v>
      </c>
      <c r="G50" s="34">
        <v>5</v>
      </c>
    </row>
    <row r="51" spans="1:7" s="2" customFormat="1" x14ac:dyDescent="0.2">
      <c r="A51" s="13">
        <f t="shared" si="7"/>
        <v>39</v>
      </c>
      <c r="B51" s="34">
        <f t="shared" ca="1" si="2"/>
        <v>0</v>
      </c>
      <c r="C51" s="34">
        <f t="shared" ca="1" si="3"/>
        <v>0</v>
      </c>
      <c r="D51" s="38">
        <f t="shared" ca="1" si="8"/>
        <v>0</v>
      </c>
      <c r="E51" s="39">
        <f t="shared" ca="1" si="9"/>
        <v>0</v>
      </c>
      <c r="F51" s="40">
        <f t="shared" ca="1" si="10"/>
        <v>0</v>
      </c>
      <c r="G51" s="34">
        <v>5</v>
      </c>
    </row>
    <row r="52" spans="1:7" s="2" customFormat="1" x14ac:dyDescent="0.2">
      <c r="A52" s="13">
        <f t="shared" si="7"/>
        <v>40</v>
      </c>
      <c r="B52" s="34">
        <f t="shared" ca="1" si="2"/>
        <v>0</v>
      </c>
      <c r="C52" s="34">
        <f t="shared" ca="1" si="3"/>
        <v>0</v>
      </c>
      <c r="D52" s="38">
        <f t="shared" ca="1" si="8"/>
        <v>0</v>
      </c>
      <c r="E52" s="39">
        <f t="shared" ca="1" si="9"/>
        <v>0</v>
      </c>
      <c r="F52" s="40">
        <f t="shared" ca="1" si="10"/>
        <v>0</v>
      </c>
      <c r="G52" s="34">
        <v>5</v>
      </c>
    </row>
    <row r="53" spans="1:7" s="2" customFormat="1" x14ac:dyDescent="0.2">
      <c r="A53" s="13">
        <f t="shared" si="7"/>
        <v>41</v>
      </c>
      <c r="B53" s="34">
        <f t="shared" ca="1" si="2"/>
        <v>0</v>
      </c>
      <c r="C53" s="34">
        <f t="shared" ca="1" si="3"/>
        <v>0</v>
      </c>
      <c r="D53" s="38">
        <f t="shared" ca="1" si="8"/>
        <v>0</v>
      </c>
      <c r="E53" s="39">
        <f t="shared" ca="1" si="9"/>
        <v>0</v>
      </c>
      <c r="F53" s="40">
        <f t="shared" ca="1" si="10"/>
        <v>0</v>
      </c>
      <c r="G53" s="34">
        <v>5</v>
      </c>
    </row>
    <row r="54" spans="1:7" s="2" customFormat="1" x14ac:dyDescent="0.2">
      <c r="A54" s="13">
        <f t="shared" si="7"/>
        <v>42</v>
      </c>
      <c r="B54" s="34">
        <f t="shared" ca="1" si="2"/>
        <v>0</v>
      </c>
      <c r="C54" s="34">
        <f t="shared" ca="1" si="3"/>
        <v>0</v>
      </c>
      <c r="D54" s="38">
        <f t="shared" ca="1" si="8"/>
        <v>0</v>
      </c>
      <c r="E54" s="39">
        <f t="shared" ca="1" si="9"/>
        <v>0</v>
      </c>
      <c r="F54" s="40">
        <f t="shared" ca="1" si="10"/>
        <v>0</v>
      </c>
      <c r="G54" s="34">
        <v>5</v>
      </c>
    </row>
    <row r="55" spans="1:7" s="2" customFormat="1" x14ac:dyDescent="0.2">
      <c r="A55" s="13">
        <f t="shared" si="7"/>
        <v>43</v>
      </c>
      <c r="B55" s="34">
        <f t="shared" ca="1" si="2"/>
        <v>0</v>
      </c>
      <c r="C55" s="34">
        <f t="shared" ca="1" si="3"/>
        <v>0</v>
      </c>
      <c r="D55" s="38">
        <f t="shared" ca="1" si="8"/>
        <v>0</v>
      </c>
      <c r="E55" s="39">
        <f t="shared" ca="1" si="9"/>
        <v>0</v>
      </c>
      <c r="F55" s="40">
        <f t="shared" ca="1" si="10"/>
        <v>0</v>
      </c>
      <c r="G55" s="34">
        <v>5</v>
      </c>
    </row>
    <row r="56" spans="1:7" s="2" customFormat="1" x14ac:dyDescent="0.2">
      <c r="A56" s="13">
        <f t="shared" si="7"/>
        <v>44</v>
      </c>
      <c r="B56" s="34">
        <f t="shared" ca="1" si="2"/>
        <v>0</v>
      </c>
      <c r="C56" s="34">
        <f t="shared" ca="1" si="3"/>
        <v>0</v>
      </c>
      <c r="D56" s="38">
        <f t="shared" ca="1" si="8"/>
        <v>0</v>
      </c>
      <c r="E56" s="39">
        <f t="shared" ca="1" si="9"/>
        <v>0</v>
      </c>
      <c r="F56" s="40">
        <f t="shared" ca="1" si="10"/>
        <v>0</v>
      </c>
      <c r="G56" s="34">
        <v>5</v>
      </c>
    </row>
    <row r="57" spans="1:7" s="2" customFormat="1" x14ac:dyDescent="0.2">
      <c r="A57" s="13">
        <f t="shared" si="7"/>
        <v>45</v>
      </c>
      <c r="B57" s="34">
        <f t="shared" ca="1" si="2"/>
        <v>0</v>
      </c>
      <c r="C57" s="34">
        <f t="shared" ca="1" si="3"/>
        <v>0</v>
      </c>
      <c r="D57" s="38">
        <f t="shared" ca="1" si="8"/>
        <v>0</v>
      </c>
      <c r="E57" s="39">
        <f t="shared" ca="1" si="9"/>
        <v>0</v>
      </c>
      <c r="F57" s="40">
        <f t="shared" ca="1" si="10"/>
        <v>0</v>
      </c>
      <c r="G57" s="34">
        <v>5</v>
      </c>
    </row>
    <row r="58" spans="1:7" s="2" customFormat="1" x14ac:dyDescent="0.2">
      <c r="A58" s="13">
        <f t="shared" si="7"/>
        <v>46</v>
      </c>
      <c r="B58" s="34">
        <f t="shared" ca="1" si="2"/>
        <v>0</v>
      </c>
      <c r="C58" s="34">
        <f t="shared" ca="1" si="3"/>
        <v>0</v>
      </c>
      <c r="D58" s="38">
        <f t="shared" ca="1" si="8"/>
        <v>0</v>
      </c>
      <c r="E58" s="39">
        <f t="shared" ca="1" si="9"/>
        <v>0</v>
      </c>
      <c r="F58" s="40">
        <f t="shared" ca="1" si="10"/>
        <v>0</v>
      </c>
      <c r="G58" s="34">
        <v>5</v>
      </c>
    </row>
    <row r="59" spans="1:7" s="2" customFormat="1" x14ac:dyDescent="0.2">
      <c r="A59" s="13">
        <f t="shared" si="7"/>
        <v>47</v>
      </c>
      <c r="B59" s="34">
        <f t="shared" ca="1" si="2"/>
        <v>0</v>
      </c>
      <c r="C59" s="34">
        <f t="shared" ca="1" si="3"/>
        <v>0</v>
      </c>
      <c r="D59" s="38">
        <f t="shared" ca="1" si="8"/>
        <v>0</v>
      </c>
      <c r="E59" s="39">
        <f t="shared" ca="1" si="9"/>
        <v>0</v>
      </c>
      <c r="F59" s="40">
        <f t="shared" ca="1" si="10"/>
        <v>0</v>
      </c>
      <c r="G59" s="34">
        <v>5</v>
      </c>
    </row>
    <row r="60" spans="1:7" s="2" customFormat="1" x14ac:dyDescent="0.2">
      <c r="A60" s="13">
        <f t="shared" si="7"/>
        <v>48</v>
      </c>
      <c r="B60" s="34">
        <f t="shared" ca="1" si="2"/>
        <v>0</v>
      </c>
      <c r="C60" s="34">
        <f t="shared" ca="1" si="3"/>
        <v>0</v>
      </c>
      <c r="D60" s="38">
        <f t="shared" ca="1" si="8"/>
        <v>0</v>
      </c>
      <c r="E60" s="39">
        <f t="shared" ca="1" si="9"/>
        <v>0</v>
      </c>
      <c r="F60" s="40">
        <f t="shared" ca="1" si="10"/>
        <v>0</v>
      </c>
      <c r="G60" s="34">
        <v>5</v>
      </c>
    </row>
    <row r="61" spans="1:7" s="2" customFormat="1" x14ac:dyDescent="0.2">
      <c r="A61" s="13">
        <f t="shared" si="7"/>
        <v>49</v>
      </c>
      <c r="B61" s="34">
        <f t="shared" ca="1" si="2"/>
        <v>0</v>
      </c>
      <c r="C61" s="34">
        <f t="shared" ca="1" si="3"/>
        <v>0</v>
      </c>
      <c r="D61" s="38">
        <f t="shared" ca="1" si="8"/>
        <v>0</v>
      </c>
      <c r="E61" s="39">
        <f t="shared" ca="1" si="9"/>
        <v>0</v>
      </c>
      <c r="F61" s="40">
        <f t="shared" ca="1" si="10"/>
        <v>0</v>
      </c>
      <c r="G61" s="34">
        <v>5</v>
      </c>
    </row>
    <row r="62" spans="1:7" s="2" customFormat="1" x14ac:dyDescent="0.2">
      <c r="A62" s="13">
        <f t="shared" si="7"/>
        <v>50</v>
      </c>
      <c r="B62" s="34">
        <f ca="1">INDIRECT("Week" &amp; TEXT($A62, "00") &amp; "!ActualHolidays")</f>
        <v>0</v>
      </c>
      <c r="C62" s="34">
        <f ca="1">INDIRECT("Week" &amp; TEXT($A62, "00") &amp; "!OtherPaidAbsences")</f>
        <v>0</v>
      </c>
      <c r="D62" s="38">
        <f t="shared" ca="1" si="8"/>
        <v>0</v>
      </c>
      <c r="E62" s="39">
        <f t="shared" ca="1" si="9"/>
        <v>0</v>
      </c>
      <c r="F62" s="40">
        <f t="shared" ca="1" si="10"/>
        <v>0</v>
      </c>
      <c r="G62" s="34">
        <v>5</v>
      </c>
    </row>
    <row r="63" spans="1:7" s="2" customFormat="1" x14ac:dyDescent="0.2">
      <c r="A63" s="13">
        <f t="shared" si="7"/>
        <v>51</v>
      </c>
      <c r="B63" s="34">
        <f t="shared" ref="B63:B65" ca="1" si="11">INDIRECT("Week" &amp; TEXT($A63, "00") &amp; "!ActualHolidays")</f>
        <v>0</v>
      </c>
      <c r="C63" s="34">
        <f t="shared" ref="C63:C65" ca="1" si="12">INDIRECT("Week" &amp; TEXT($A63, "00") &amp; "!OtherPaidAbsences")</f>
        <v>0</v>
      </c>
      <c r="D63" s="38">
        <f t="shared" ca="1" si="8"/>
        <v>0</v>
      </c>
      <c r="E63" s="39">
        <f t="shared" ca="1" si="9"/>
        <v>0</v>
      </c>
      <c r="F63" s="40">
        <f t="shared" ca="1" si="10"/>
        <v>0</v>
      </c>
      <c r="G63" s="34">
        <v>5</v>
      </c>
    </row>
    <row r="64" spans="1:7" s="2" customFormat="1" x14ac:dyDescent="0.2">
      <c r="A64" s="13">
        <f t="shared" si="7"/>
        <v>52</v>
      </c>
      <c r="B64" s="34">
        <f t="shared" ca="1" si="11"/>
        <v>0</v>
      </c>
      <c r="C64" s="34">
        <f t="shared" ca="1" si="12"/>
        <v>0</v>
      </c>
      <c r="D64" s="38">
        <f t="shared" ca="1" si="8"/>
        <v>0</v>
      </c>
      <c r="E64" s="39">
        <f t="shared" ca="1" si="9"/>
        <v>0</v>
      </c>
      <c r="F64" s="40">
        <f t="shared" ca="1" si="10"/>
        <v>0</v>
      </c>
      <c r="G64" s="34">
        <v>2.875</v>
      </c>
    </row>
    <row r="65" spans="1:7" s="2" customFormat="1" ht="13.5" hidden="1" thickBot="1" x14ac:dyDescent="0.25">
      <c r="A65" s="26">
        <f t="shared" si="7"/>
        <v>53</v>
      </c>
      <c r="B65" s="35">
        <f t="shared" ca="1" si="11"/>
        <v>0</v>
      </c>
      <c r="C65" s="35">
        <f t="shared" ca="1" si="12"/>
        <v>0</v>
      </c>
      <c r="D65" s="41">
        <f t="shared" ca="1" si="8"/>
        <v>0</v>
      </c>
      <c r="E65" s="42">
        <f t="shared" ca="1" si="9"/>
        <v>0</v>
      </c>
      <c r="F65" s="43">
        <f t="shared" ca="1" si="10"/>
        <v>0</v>
      </c>
      <c r="G65" s="35">
        <v>5</v>
      </c>
    </row>
    <row r="66" spans="1:7" hidden="1" x14ac:dyDescent="0.2"/>
    <row r="67" spans="1:7" hidden="1" x14ac:dyDescent="0.2"/>
    <row r="68" spans="1:7" hidden="1" x14ac:dyDescent="0.2"/>
    <row r="69" spans="1:7" hidden="1" x14ac:dyDescent="0.2"/>
    <row r="70" spans="1:7" hidden="1" x14ac:dyDescent="0.2"/>
    <row r="71" spans="1:7" hidden="1" x14ac:dyDescent="0.2"/>
  </sheetData>
  <sheetProtection sheet="1" objects="1" scenarios="1" selectLockedCells="1"/>
  <mergeCells count="13">
    <mergeCell ref="A6:E6"/>
    <mergeCell ref="A1:E1"/>
    <mergeCell ref="A2:E2"/>
    <mergeCell ref="A3:E3"/>
    <mergeCell ref="A4:E4"/>
    <mergeCell ref="A5:F5"/>
    <mergeCell ref="G9:G10"/>
    <mergeCell ref="A7:E7"/>
    <mergeCell ref="A8:F8"/>
    <mergeCell ref="A9:A10"/>
    <mergeCell ref="B9:B10"/>
    <mergeCell ref="C9:C10"/>
    <mergeCell ref="D9:F9"/>
  </mergeCell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eek01"/>
  <dimension ref="A1:G62"/>
  <sheetViews>
    <sheetView workbookViewId="0">
      <selection activeCell="C5" sqref="C5"/>
    </sheetView>
  </sheetViews>
  <sheetFormatPr defaultColWidth="0" defaultRowHeight="12.75" customHeight="1" zeroHeight="1" x14ac:dyDescent="0.2"/>
  <cols>
    <col min="1" max="1" width="8.7109375" customWidth="1"/>
    <col min="2" max="2" width="5.5703125" bestFit="1" customWidth="1"/>
    <col min="3" max="4" width="15.85546875" bestFit="1" customWidth="1"/>
    <col min="5" max="5" width="25.7109375" customWidth="1"/>
    <col min="6" max="6" width="13.28515625" bestFit="1" customWidth="1"/>
    <col min="7" max="7" width="130.7109375" customWidth="1"/>
    <col min="8" max="16384" width="9.140625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x14ac:dyDescent="0.2">
      <c r="A5" s="30"/>
      <c r="B5" s="30"/>
      <c r="C5" s="19">
        <f t="shared" ref="C5:C36" ca="1" si="0">NOW()</f>
        <v>43457.48244965278</v>
      </c>
      <c r="D5" s="19">
        <f t="shared" ref="D5:D36" ca="1" si="1">IF(($A5+$B5)&gt;0,$C5+($A5+$B5)*AllocatedDailyWorkingFraction,NOW())</f>
        <v>43457.48244965278</v>
      </c>
      <c r="E5" s="27"/>
      <c r="F5" s="20"/>
      <c r="G5" s="20"/>
    </row>
    <row r="6" spans="1:7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x14ac:dyDescent="0.2">
      <c r="A37" s="31"/>
      <c r="B37" s="31"/>
      <c r="C37" s="21">
        <f t="shared" ref="C37:C60" ca="1" si="2">NOW()</f>
        <v>43457.48244965278</v>
      </c>
      <c r="D37" s="21">
        <f t="shared" ref="D37:D60" ca="1" si="3">IF(($A37+$B37)&gt;0,$C37+($A37+$B37)*AllocatedDailyWorkingFraction,NOW())</f>
        <v>43457.48244965278</v>
      </c>
      <c r="E37" s="12"/>
      <c r="F37" s="12"/>
      <c r="G37" s="12"/>
    </row>
    <row r="38" spans="1:7" x14ac:dyDescent="0.2">
      <c r="A38" s="31"/>
      <c r="B38" s="31"/>
      <c r="C38" s="21">
        <f t="shared" ca="1" si="2"/>
        <v>43457.48244965278</v>
      </c>
      <c r="D38" s="21">
        <f t="shared" ca="1" si="3"/>
        <v>43457.48244965278</v>
      </c>
      <c r="E38" s="12"/>
      <c r="F38" s="12"/>
      <c r="G38" s="12"/>
    </row>
    <row r="39" spans="1:7" x14ac:dyDescent="0.2">
      <c r="A39" s="31"/>
      <c r="B39" s="31"/>
      <c r="C39" s="21">
        <f t="shared" ca="1" si="2"/>
        <v>43457.48244965278</v>
      </c>
      <c r="D39" s="21">
        <f t="shared" ca="1" si="3"/>
        <v>43457.48244965278</v>
      </c>
      <c r="E39" s="12"/>
      <c r="F39" s="12"/>
      <c r="G39" s="12"/>
    </row>
    <row r="40" spans="1:7" x14ac:dyDescent="0.2">
      <c r="A40" s="31"/>
      <c r="B40" s="31"/>
      <c r="C40" s="21">
        <f t="shared" ca="1" si="2"/>
        <v>43457.48244965278</v>
      </c>
      <c r="D40" s="21">
        <f t="shared" ca="1" si="3"/>
        <v>43457.48244965278</v>
      </c>
      <c r="E40" s="12"/>
      <c r="F40" s="12"/>
      <c r="G40" s="12"/>
    </row>
    <row r="41" spans="1:7" x14ac:dyDescent="0.2">
      <c r="A41" s="31"/>
      <c r="B41" s="31"/>
      <c r="C41" s="21">
        <f t="shared" ca="1" si="2"/>
        <v>43457.48244965278</v>
      </c>
      <c r="D41" s="21">
        <f t="shared" ca="1" si="3"/>
        <v>43457.48244965278</v>
      </c>
      <c r="E41" s="12"/>
      <c r="F41" s="12"/>
      <c r="G41" s="12"/>
    </row>
    <row r="42" spans="1:7" x14ac:dyDescent="0.2">
      <c r="A42" s="31"/>
      <c r="B42" s="31"/>
      <c r="C42" s="21">
        <f t="shared" ca="1" si="2"/>
        <v>43457.48244965278</v>
      </c>
      <c r="D42" s="21">
        <f t="shared" ca="1" si="3"/>
        <v>43457.48244965278</v>
      </c>
      <c r="E42" s="12"/>
      <c r="F42" s="12"/>
      <c r="G42" s="12"/>
    </row>
    <row r="43" spans="1:7" x14ac:dyDescent="0.2">
      <c r="A43" s="31"/>
      <c r="B43" s="31"/>
      <c r="C43" s="21">
        <f t="shared" ca="1" si="2"/>
        <v>43457.48244965278</v>
      </c>
      <c r="D43" s="21">
        <f t="shared" ca="1" si="3"/>
        <v>43457.48244965278</v>
      </c>
      <c r="E43" s="12"/>
      <c r="F43" s="12"/>
      <c r="G43" s="12"/>
    </row>
    <row r="44" spans="1:7" x14ac:dyDescent="0.2">
      <c r="A44" s="31"/>
      <c r="B44" s="31"/>
      <c r="C44" s="21">
        <f t="shared" ca="1" si="2"/>
        <v>43457.48244965278</v>
      </c>
      <c r="D44" s="21">
        <f t="shared" ca="1" si="3"/>
        <v>43457.48244965278</v>
      </c>
      <c r="E44" s="12"/>
      <c r="F44" s="12"/>
      <c r="G44" s="12"/>
    </row>
    <row r="45" spans="1:7" x14ac:dyDescent="0.2">
      <c r="A45" s="31"/>
      <c r="B45" s="31"/>
      <c r="C45" s="21">
        <f t="shared" ca="1" si="2"/>
        <v>43457.48244965278</v>
      </c>
      <c r="D45" s="21">
        <f t="shared" ca="1" si="3"/>
        <v>43457.48244965278</v>
      </c>
      <c r="E45" s="12"/>
      <c r="F45" s="12"/>
      <c r="G45" s="12"/>
    </row>
    <row r="46" spans="1:7" x14ac:dyDescent="0.2">
      <c r="A46" s="31"/>
      <c r="B46" s="31"/>
      <c r="C46" s="21">
        <f t="shared" ca="1" si="2"/>
        <v>43457.48244965278</v>
      </c>
      <c r="D46" s="21">
        <f t="shared" ca="1" si="3"/>
        <v>43457.48244965278</v>
      </c>
      <c r="E46" s="12"/>
      <c r="F46" s="12"/>
      <c r="G46" s="12"/>
    </row>
    <row r="47" spans="1:7" x14ac:dyDescent="0.2">
      <c r="A47" s="31"/>
      <c r="B47" s="31"/>
      <c r="C47" s="21">
        <f t="shared" ca="1" si="2"/>
        <v>43457.48244965278</v>
      </c>
      <c r="D47" s="21">
        <f t="shared" ca="1" si="3"/>
        <v>43457.48244965278</v>
      </c>
      <c r="E47" s="12"/>
      <c r="F47" s="12"/>
      <c r="G47" s="12"/>
    </row>
    <row r="48" spans="1:7" x14ac:dyDescent="0.2">
      <c r="A48" s="31"/>
      <c r="B48" s="31"/>
      <c r="C48" s="21">
        <f t="shared" ca="1" si="2"/>
        <v>43457.48244965278</v>
      </c>
      <c r="D48" s="21">
        <f t="shared" ca="1" si="3"/>
        <v>43457.48244965278</v>
      </c>
      <c r="E48" s="12"/>
      <c r="F48" s="12"/>
      <c r="G48" s="12"/>
    </row>
    <row r="49" spans="1:7" x14ac:dyDescent="0.2">
      <c r="A49" s="31"/>
      <c r="B49" s="31"/>
      <c r="C49" s="21">
        <f t="shared" ca="1" si="2"/>
        <v>43457.48244965278</v>
      </c>
      <c r="D49" s="21">
        <f t="shared" ca="1" si="3"/>
        <v>43457.48244965278</v>
      </c>
      <c r="E49" s="12"/>
      <c r="F49" s="12"/>
      <c r="G49" s="12"/>
    </row>
    <row r="50" spans="1:7" x14ac:dyDescent="0.2">
      <c r="A50" s="31"/>
      <c r="B50" s="31"/>
      <c r="C50" s="21">
        <f t="shared" ca="1" si="2"/>
        <v>43457.48244965278</v>
      </c>
      <c r="D50" s="21">
        <f t="shared" ca="1" si="3"/>
        <v>43457.48244965278</v>
      </c>
      <c r="E50" s="12"/>
      <c r="F50" s="12"/>
      <c r="G50" s="12"/>
    </row>
    <row r="51" spans="1:7" x14ac:dyDescent="0.2">
      <c r="A51" s="32"/>
      <c r="B51" s="32"/>
      <c r="C51" s="22">
        <f t="shared" ca="1" si="2"/>
        <v>43457.48244965278</v>
      </c>
      <c r="D51" s="22">
        <f t="shared" ca="1" si="3"/>
        <v>43457.48244965278</v>
      </c>
      <c r="E51" s="23"/>
      <c r="F51" s="23"/>
      <c r="G51" s="23"/>
    </row>
    <row r="52" spans="1:7" x14ac:dyDescent="0.2">
      <c r="A52" s="31"/>
      <c r="B52" s="31"/>
      <c r="C52" s="21">
        <f t="shared" ca="1" si="2"/>
        <v>43457.48244965278</v>
      </c>
      <c r="D52" s="21">
        <f t="shared" ca="1" si="3"/>
        <v>43457.48244965278</v>
      </c>
      <c r="E52" s="12"/>
      <c r="F52" s="12"/>
      <c r="G52" s="12"/>
    </row>
    <row r="53" spans="1:7" x14ac:dyDescent="0.2">
      <c r="A53" s="31"/>
      <c r="B53" s="31"/>
      <c r="C53" s="21">
        <f t="shared" ca="1" si="2"/>
        <v>43457.48244965278</v>
      </c>
      <c r="D53" s="21">
        <f t="shared" ca="1" si="3"/>
        <v>43457.48244965278</v>
      </c>
      <c r="E53" s="12"/>
      <c r="F53" s="12"/>
      <c r="G53" s="12"/>
    </row>
    <row r="54" spans="1:7" x14ac:dyDescent="0.2">
      <c r="A54" s="31"/>
      <c r="B54" s="31"/>
      <c r="C54" s="21">
        <f t="shared" ca="1" si="2"/>
        <v>43457.48244965278</v>
      </c>
      <c r="D54" s="21">
        <f t="shared" ca="1" si="3"/>
        <v>43457.48244965278</v>
      </c>
      <c r="E54" s="12"/>
      <c r="F54" s="12"/>
      <c r="G54" s="12"/>
    </row>
    <row r="55" spans="1:7" x14ac:dyDescent="0.2">
      <c r="A55" s="31"/>
      <c r="B55" s="31"/>
      <c r="C55" s="21">
        <f t="shared" ca="1" si="2"/>
        <v>43457.48244965278</v>
      </c>
      <c r="D55" s="21">
        <f t="shared" ca="1" si="3"/>
        <v>43457.48244965278</v>
      </c>
      <c r="E55" s="12"/>
      <c r="F55" s="12"/>
      <c r="G55" s="12"/>
    </row>
    <row r="56" spans="1:7" x14ac:dyDescent="0.2">
      <c r="A56" s="31"/>
      <c r="B56" s="31"/>
      <c r="C56" s="21">
        <f t="shared" ca="1" si="2"/>
        <v>43457.48244965278</v>
      </c>
      <c r="D56" s="21">
        <f t="shared" ca="1" si="3"/>
        <v>43457.48244965278</v>
      </c>
      <c r="E56" s="12"/>
      <c r="F56" s="12"/>
      <c r="G56" s="12"/>
    </row>
    <row r="57" spans="1:7" x14ac:dyDescent="0.2">
      <c r="A57" s="31"/>
      <c r="B57" s="31"/>
      <c r="C57" s="21">
        <f t="shared" ca="1" si="2"/>
        <v>43457.48244965278</v>
      </c>
      <c r="D57" s="21">
        <f t="shared" ca="1" si="3"/>
        <v>43457.48244965278</v>
      </c>
      <c r="E57" s="12"/>
      <c r="F57" s="12"/>
      <c r="G57" s="12"/>
    </row>
    <row r="58" spans="1:7" x14ac:dyDescent="0.2">
      <c r="A58" s="31"/>
      <c r="B58" s="31"/>
      <c r="C58" s="21">
        <f t="shared" ca="1" si="2"/>
        <v>43457.48244965278</v>
      </c>
      <c r="D58" s="21">
        <f t="shared" ca="1" si="3"/>
        <v>43457.48244965278</v>
      </c>
      <c r="E58" s="12"/>
      <c r="F58" s="12"/>
      <c r="G58" s="12"/>
    </row>
    <row r="59" spans="1:7" x14ac:dyDescent="0.2">
      <c r="A59" s="31"/>
      <c r="B59" s="31"/>
      <c r="C59" s="21">
        <f t="shared" ca="1" si="2"/>
        <v>43457.48244965278</v>
      </c>
      <c r="D59" s="21">
        <f t="shared" ca="1" si="3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2"/>
        <v>43457.48244965278</v>
      </c>
      <c r="D60" s="24">
        <f t="shared" ca="1" si="3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00000000-0002-0000-0100-000000000000}">
      <formula1>SpentTimeTypes</formula1>
    </dataValidation>
    <dataValidation type="custom" sqref="D5:D60" xr:uid="{00000000-0002-0000-0100-000001000000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669924D9-C719-4CE5-BB55-C3EE318B77F2}">
      <formula1>0</formula1>
      <formula2>1</formula2>
    </dataValidation>
    <dataValidation type="custom" sqref="B5:B60" xr:uid="{A930E457-92B5-4B45-BCB1-8CF2DC623CB1}">
      <formula1>AND(OR(ISBLANK($A5),ISBLANK($B5)),$B5&gt;=0,$B5&lt;=1)</formula1>
    </dataValidation>
    <dataValidation type="custom" sqref="C5:C60" xr:uid="{C95441AD-08A5-4B34-82A7-8CFA8F5A968A}">
      <formula1>IF(AND(OR(YEAR($C5)=Year,WeekNumber=1,WeekNumber&gt;=52),WEEKNUM($C5,21)=WeekNumber),OR(COUNTBLANK($A5:$B5)=2,NOT(_xlfn.ISFORMULA($C5))),COUNTBLANK($A5:$C5)=3)</formula1>
    </dataValidation>
    <dataValidation type="custom" sqref="E5:E60" xr:uid="{D4DD88D4-D394-49B5-A1CD-ED95FB860169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03BD0-6542-4FB0-A399-F63D0FDAEE5B}">
  <sheetPr codeName="Week02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B179C922-EDDE-40E1-9D24-55C5124627A0}">
      <formula1>OR(ISBLANK($D5),_xlfn.ISFORMULA($D5))=ISBLANK($E5)</formula1>
    </dataValidation>
    <dataValidation type="custom" sqref="C5:C60" xr:uid="{7E4661BD-9BB7-4E0E-A742-50FA4C18A00D}">
      <formula1>IF(AND(OR(YEAR($C5)=Year,WeekNumber=1,WeekNumber&gt;=52),WEEKNUM($C5,21)=WeekNumber),OR(COUNTBLANK($A5:$B5)=2,NOT(_xlfn.ISFORMULA($C5))),COUNTBLANK($A5:$C5)=3)</formula1>
    </dataValidation>
    <dataValidation type="custom" sqref="B5:B60" xr:uid="{19784AB6-59A2-41C2-A7C9-02E220E1363F}">
      <formula1>AND(OR(ISBLANK($A5),ISBLANK($B5)),$B5&gt;=0,$B5&lt;=1)</formula1>
    </dataValidation>
    <dataValidation type="decimal" sqref="A5:A60" xr:uid="{06606F9C-AC2E-4CF5-BD23-594DBD0F4816}">
      <formula1>0</formula1>
      <formula2>1</formula2>
    </dataValidation>
    <dataValidation type="custom" sqref="D5:D60" xr:uid="{09975B8E-E91A-4011-9222-C0E10A47851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0A7210F7-296C-452C-85DF-3BA5BAB0FCB2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34088-1E92-4756-B488-AB04DD8B0FE1}">
  <sheetPr codeName="Week03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174EDB80-1379-4891-878D-34E1BAE6E4D2}">
      <formula1>SpentTimeTypes</formula1>
    </dataValidation>
    <dataValidation type="custom" sqref="D5:D60" xr:uid="{6A36726A-31C2-442B-8156-A8A0AAC3A3AE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C015A7A4-500D-440C-8215-FD81228927E7}">
      <formula1>0</formula1>
      <formula2>1</formula2>
    </dataValidation>
    <dataValidation type="custom" sqref="B5:B60" xr:uid="{1CBF4562-1FB5-4D2D-A65A-2B96B7BF549B}">
      <formula1>AND(OR(ISBLANK($A5),ISBLANK($B5)),$B5&gt;=0,$B5&lt;=1)</formula1>
    </dataValidation>
    <dataValidation type="custom" sqref="C5:C60" xr:uid="{3F1F5CA2-4BB1-4788-A151-1879C1A5F964}">
      <formula1>IF(AND(OR(YEAR($C5)=Year,WeekNumber=1,WeekNumber&gt;=52),WEEKNUM($C5,21)=WeekNumber),OR(COUNTBLANK($A5:$B5)=2,NOT(_xlfn.ISFORMULA($C5))),COUNTBLANK($A5:$C5)=3)</formula1>
    </dataValidation>
    <dataValidation type="custom" sqref="E5:E60" xr:uid="{399120E8-212A-4324-A23C-B33419E69969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9C71B-ED6F-419C-8B37-E465A69CA112}">
  <sheetPr codeName="Week04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8B120EE7-2E45-48CB-99BB-BB1C4756AD08}">
      <formula1>OR(ISBLANK($D5),_xlfn.ISFORMULA($D5))=ISBLANK($E5)</formula1>
    </dataValidation>
    <dataValidation type="custom" sqref="C5:C60" xr:uid="{87AACBA6-4440-43B6-90CF-E2400CA7762F}">
      <formula1>IF(AND(OR(YEAR($C5)=Year,WeekNumber=1,WeekNumber&gt;=52),WEEKNUM($C5,21)=WeekNumber),OR(COUNTBLANK($A5:$B5)=2,NOT(_xlfn.ISFORMULA($C5))),COUNTBLANK($A5:$C5)=3)</formula1>
    </dataValidation>
    <dataValidation type="custom" sqref="B5:B60" xr:uid="{1ED3261B-2D47-4F04-B35F-E7F73A152B62}">
      <formula1>AND(OR(ISBLANK($A5),ISBLANK($B5)),$B5&gt;=0,$B5&lt;=1)</formula1>
    </dataValidation>
    <dataValidation type="decimal" sqref="A5:A60" xr:uid="{BD5C164D-503B-4A4F-8B57-2F1E376C80C5}">
      <formula1>0</formula1>
      <formula2>1</formula2>
    </dataValidation>
    <dataValidation type="custom" sqref="D5:D60" xr:uid="{E21D03CB-DDD6-4648-8B49-11556FAFDAA7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50CA4BB6-FEC1-4A5B-99FA-69633BAD0E1B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FFEE-1F3E-48BB-B9D8-46481332CA6A}">
  <sheetPr codeName="Week05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5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9EFFFA3C-CFA0-4EFA-A9A7-B78BF9C92392}">
      <formula1>SpentTimeTypes</formula1>
    </dataValidation>
    <dataValidation type="custom" sqref="D5:D60" xr:uid="{D2C06975-E4D2-4A9E-9B69-D1051005C72A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B683069B-1418-44AC-81D6-613DAC70550D}">
      <formula1>0</formula1>
      <formula2>1</formula2>
    </dataValidation>
    <dataValidation type="custom" sqref="B5:B60" xr:uid="{F1F81B22-80CD-4C76-81C8-63F7BD9CD11E}">
      <formula1>AND(OR(ISBLANK($A5),ISBLANK($B5)),$B5&gt;=0,$B5&lt;=1)</formula1>
    </dataValidation>
    <dataValidation type="custom" sqref="C5:C60" xr:uid="{0EB3D62E-39FF-4B8E-B922-C1DA5DC681BE}">
      <formula1>IF(AND(OR(YEAR($C5)=Year,WeekNumber=1,WeekNumber&gt;=52),WEEKNUM($C5,21)=WeekNumber),OR(COUNTBLANK($A5:$B5)=2,NOT(_xlfn.ISFORMULA($C5))),COUNTBLANK($A5:$C5)=3)</formula1>
    </dataValidation>
    <dataValidation type="custom" sqref="E5:E60" xr:uid="{42D6AC7B-EFB6-4450-B7FC-D48E75FB6AFC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41EE5-0851-4B3B-8817-D30686931694}">
  <sheetPr codeName="Week06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6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946AD495-9BC3-4605-A601-1247F2471182}">
      <formula1>OR(ISBLANK($D5),_xlfn.ISFORMULA($D5))=ISBLANK($E5)</formula1>
    </dataValidation>
    <dataValidation type="custom" sqref="C5:C60" xr:uid="{8FD87C1B-B07B-45DF-82CC-8EBF6F043CAB}">
      <formula1>IF(AND(OR(YEAR($C5)=Year,WeekNumber=1,WeekNumber&gt;=52),WEEKNUM($C5,21)=WeekNumber),OR(COUNTBLANK($A5:$B5)=2,NOT(_xlfn.ISFORMULA($C5))),COUNTBLANK($A5:$C5)=3)</formula1>
    </dataValidation>
    <dataValidation type="custom" sqref="B5:B60" xr:uid="{B06532C5-7343-4A0F-A01F-4D0DBB0396E3}">
      <formula1>AND(OR(ISBLANK($A5),ISBLANK($B5)),$B5&gt;=0,$B5&lt;=1)</formula1>
    </dataValidation>
    <dataValidation type="decimal" sqref="A5:A60" xr:uid="{FE14548F-86CC-4EAE-9126-309A058BBA30}">
      <formula1>0</formula1>
      <formula2>1</formula2>
    </dataValidation>
    <dataValidation type="custom" sqref="D5:D60" xr:uid="{5C206B37-228F-4F74-AA2C-FE5AE9342528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14682984-9D8F-4C41-B147-9EC7F721DDE5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734A2-CAA1-4B41-8BA9-0A08E3144FB6}">
  <sheetPr codeName="Week07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7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BBF522F6-91A7-4945-8F4B-FB76DF91F7E7}">
      <formula1>SpentTimeTypes</formula1>
    </dataValidation>
    <dataValidation type="custom" sqref="D5:D60" xr:uid="{65682057-B94B-412A-8AAE-24C824A2D6C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DE62A648-1840-4909-AF9E-6020A189B55D}">
      <formula1>0</formula1>
      <formula2>1</formula2>
    </dataValidation>
    <dataValidation type="custom" sqref="B5:B60" xr:uid="{E602C792-B1F5-4E3C-A053-50FAEFFEAB1A}">
      <formula1>AND(OR(ISBLANK($A5),ISBLANK($B5)),$B5&gt;=0,$B5&lt;=1)</formula1>
    </dataValidation>
    <dataValidation type="custom" sqref="C5:C60" xr:uid="{20833805-B59F-4740-A200-FEAF402B426E}">
      <formula1>IF(AND(OR(YEAR($C5)=Year,WeekNumber=1,WeekNumber&gt;=52),WEEKNUM($C5,21)=WeekNumber),OR(COUNTBLANK($A5:$B5)=2,NOT(_xlfn.ISFORMULA($C5))),COUNTBLANK($A5:$C5)=3)</formula1>
    </dataValidation>
    <dataValidation type="custom" sqref="E5:E60" xr:uid="{1DB297C7-E3EF-4D73-B5D7-95576EFBC44E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11549-8568-4E9F-803C-1C9628097800}">
  <sheetPr codeName="Week08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8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859F2945-DAA4-4199-BE10-91794E65AC14}">
      <formula1>OR(ISBLANK($D5),_xlfn.ISFORMULA($D5))=ISBLANK($E5)</formula1>
    </dataValidation>
    <dataValidation type="custom" sqref="C5:C60" xr:uid="{8F847571-14FF-4316-A092-B882D7DF204F}">
      <formula1>IF(AND(OR(YEAR($C5)=Year,WeekNumber=1,WeekNumber&gt;=52),WEEKNUM($C5,21)=WeekNumber),OR(COUNTBLANK($A5:$B5)=2,NOT(_xlfn.ISFORMULA($C5))),COUNTBLANK($A5:$C5)=3)</formula1>
    </dataValidation>
    <dataValidation type="custom" sqref="B5:B60" xr:uid="{DB9AC3B0-910D-457C-BF62-F2D367F3A170}">
      <formula1>AND(OR(ISBLANK($A5),ISBLANK($B5)),$B5&gt;=0,$B5&lt;=1)</formula1>
    </dataValidation>
    <dataValidation type="decimal" sqref="A5:A60" xr:uid="{5DEFC15E-C01A-4898-8DCC-00821111D9B0}">
      <formula1>0</formula1>
      <formula2>1</formula2>
    </dataValidation>
    <dataValidation type="custom" sqref="D5:D60" xr:uid="{EFECCFE9-D4DE-4D1B-8988-E77B1BA69F64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B4888A21-9CF4-459B-916D-6CCEA460F9AF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39E8B-53FD-4675-9518-050D75E94BB3}">
  <sheetPr codeName="Week09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9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7223D79C-8864-43B9-87A5-92F32AD77A56}">
      <formula1>SpentTimeTypes</formula1>
    </dataValidation>
    <dataValidation type="custom" sqref="D5:D60" xr:uid="{E30EDBA3-8E33-4900-9113-9A0483DAEB18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4EC29B40-678A-4810-B27F-14448A332A8E}">
      <formula1>0</formula1>
      <formula2>1</formula2>
    </dataValidation>
    <dataValidation type="custom" sqref="B5:B60" xr:uid="{EDB8B65F-140F-4C02-9799-0BE823D37F2D}">
      <formula1>AND(OR(ISBLANK($A5),ISBLANK($B5)),$B5&gt;=0,$B5&lt;=1)</formula1>
    </dataValidation>
    <dataValidation type="custom" sqref="C5:C60" xr:uid="{E78F5495-66BE-4B2B-9264-6DDD5DF9F5C1}">
      <formula1>IF(AND(OR(YEAR($C5)=Year,WeekNumber=1,WeekNumber&gt;=52),WEEKNUM($C5,21)=WeekNumber),OR(COUNTBLANK($A5:$B5)=2,NOT(_xlfn.ISFORMULA($C5))),COUNTBLANK($A5:$C5)=3)</formula1>
    </dataValidation>
    <dataValidation type="custom" sqref="E5:E60" xr:uid="{2831B5FB-ECBE-40C4-B1EC-270FC2535827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32B5C-1DF5-4B09-AB65-CBC00BC1BF32}">
  <sheetPr codeName="Week10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10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913D2E61-B24A-4B5E-932E-C24953AE58A4}">
      <formula1>OR(ISBLANK($D5),_xlfn.ISFORMULA($D5))=ISBLANK($E5)</formula1>
    </dataValidation>
    <dataValidation type="custom" sqref="C5:C60" xr:uid="{9450A22F-CF61-444E-9976-116BBA6A86AA}">
      <formula1>IF(AND(OR(YEAR($C5)=Year,WeekNumber=1,WeekNumber&gt;=52),WEEKNUM($C5,21)=WeekNumber),OR(COUNTBLANK($A5:$B5)=2,NOT(_xlfn.ISFORMULA($C5))),COUNTBLANK($A5:$C5)=3)</formula1>
    </dataValidation>
    <dataValidation type="custom" sqref="B5:B60" xr:uid="{DDD35EF6-FB44-4072-A66A-0242F6BDBA65}">
      <formula1>AND(OR(ISBLANK($A5),ISBLANK($B5)),$B5&gt;=0,$B5&lt;=1)</formula1>
    </dataValidation>
    <dataValidation type="decimal" sqref="A5:A60" xr:uid="{3D0745EE-82E6-41E2-A793-D8635AE7DC58}">
      <formula1>0</formula1>
      <formula2>1</formula2>
    </dataValidation>
    <dataValidation type="custom" sqref="D5:D60" xr:uid="{BF3A6412-B921-4E38-9676-925FBC0622F4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141387E2-4865-4CCE-ABFE-525015822104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90F22-00F9-4C96-9846-B7E976354B6B}">
  <sheetPr codeName="Week11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11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470623E9-7563-4AB2-B466-05B7E6957CA0}">
      <formula1>SpentTimeTypes</formula1>
    </dataValidation>
    <dataValidation type="custom" sqref="D5:D60" xr:uid="{F81425D0-44A0-46D0-9A63-D3586E1690D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CB40E41F-5301-4E46-BB4F-4DD1121AEB70}">
      <formula1>0</formula1>
      <formula2>1</formula2>
    </dataValidation>
    <dataValidation type="custom" sqref="B5:B60" xr:uid="{5FE15F3D-0E13-4F94-B989-7FB53843063A}">
      <formula1>AND(OR(ISBLANK($A5),ISBLANK($B5)),$B5&gt;=0,$B5&lt;=1)</formula1>
    </dataValidation>
    <dataValidation type="custom" sqref="C5:C60" xr:uid="{AA1D83A7-E15C-43FD-8562-F7C81AC09AD3}">
      <formula1>IF(AND(OR(YEAR($C5)=Year,WeekNumber=1,WeekNumber&gt;=52),WEEKNUM($C5,21)=WeekNumber),OR(COUNTBLANK($A5:$B5)=2,NOT(_xlfn.ISFORMULA($C5))),COUNTBLANK($A5:$C5)=3)</formula1>
    </dataValidation>
    <dataValidation type="custom" sqref="E5:E60" xr:uid="{AA3A5AE9-C6CD-4FDD-B24C-3010E32AFE6B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11BCE-53F0-4C45-8192-A6315B233B04}">
  <sheetPr codeName="Week12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12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A70D8B95-C0A5-4134-882A-A5C93AF0F0DC}">
      <formula1>OR(ISBLANK($D5),_xlfn.ISFORMULA($D5))=ISBLANK($E5)</formula1>
    </dataValidation>
    <dataValidation type="custom" sqref="C5:C60" xr:uid="{627E4839-4604-4AA6-B2B9-6A4663FEF504}">
      <formula1>IF(AND(OR(YEAR($C5)=Year,WeekNumber=1,WeekNumber&gt;=52),WEEKNUM($C5,21)=WeekNumber),OR(COUNTBLANK($A5:$B5)=2,NOT(_xlfn.ISFORMULA($C5))),COUNTBLANK($A5:$C5)=3)</formula1>
    </dataValidation>
    <dataValidation type="custom" sqref="B5:B60" xr:uid="{91F8C5D4-D348-4511-BA08-4957601BFF26}">
      <formula1>AND(OR(ISBLANK($A5),ISBLANK($B5)),$B5&gt;=0,$B5&lt;=1)</formula1>
    </dataValidation>
    <dataValidation type="decimal" sqref="A5:A60" xr:uid="{525C7BDD-1177-4F06-AAE9-6063D4AED7DF}">
      <formula1>0</formula1>
      <formula2>1</formula2>
    </dataValidation>
    <dataValidation type="custom" sqref="D5:D60" xr:uid="{E6625286-D310-4109-8AE9-707F78948279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05BB83AF-1C05-4F66-9595-9908ED37B74D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37F36-76FB-4642-827A-CB0AE2424181}">
  <sheetPr codeName="Week13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13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82059856-1240-4849-A034-4EC85DC234A2}">
      <formula1>SpentTimeTypes</formula1>
    </dataValidation>
    <dataValidation type="custom" sqref="D5:D60" xr:uid="{53C789FE-5AE0-49D0-B907-B0EE160F3AC8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8AAC68AA-3A53-4A69-A930-E9F86BFC20E5}">
      <formula1>0</formula1>
      <formula2>1</formula2>
    </dataValidation>
    <dataValidation type="custom" sqref="B5:B60" xr:uid="{78342E5C-AB7D-4873-A401-6ACE32DB088D}">
      <formula1>AND(OR(ISBLANK($A5),ISBLANK($B5)),$B5&gt;=0,$B5&lt;=1)</formula1>
    </dataValidation>
    <dataValidation type="custom" sqref="C5:C60" xr:uid="{6C348701-C33D-474D-A7D9-EB49699544C1}">
      <formula1>IF(AND(OR(YEAR($C5)=Year,WeekNumber=1,WeekNumber&gt;=52),WEEKNUM($C5,21)=WeekNumber),OR(COUNTBLANK($A5:$B5)=2,NOT(_xlfn.ISFORMULA($C5))),COUNTBLANK($A5:$C5)=3)</formula1>
    </dataValidation>
    <dataValidation type="custom" sqref="E5:E60" xr:uid="{8D718B11-E57B-4BD9-BA5C-1EC4E9D4675C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FB836-9785-4C8D-A566-EDA325D77C44}">
  <sheetPr codeName="Week14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14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077C087D-B89F-4447-843D-A8A508D56526}">
      <formula1>OR(ISBLANK($D5),_xlfn.ISFORMULA($D5))=ISBLANK($E5)</formula1>
    </dataValidation>
    <dataValidation type="custom" sqref="C5:C60" xr:uid="{C096B69D-4B1E-417A-B5CE-081EFB9F1B19}">
      <formula1>IF(AND(OR(YEAR($C5)=Year,WeekNumber=1,WeekNumber&gt;=52),WEEKNUM($C5,21)=WeekNumber),OR(COUNTBLANK($A5:$B5)=2,NOT(_xlfn.ISFORMULA($C5))),COUNTBLANK($A5:$C5)=3)</formula1>
    </dataValidation>
    <dataValidation type="custom" sqref="B5:B60" xr:uid="{5DCAB95A-BA42-4BCB-AFEF-D8E4758EB61F}">
      <formula1>AND(OR(ISBLANK($A5),ISBLANK($B5)),$B5&gt;=0,$B5&lt;=1)</formula1>
    </dataValidation>
    <dataValidation type="decimal" sqref="A5:A60" xr:uid="{98CDEE6E-7C99-46A0-8E70-B05936255309}">
      <formula1>0</formula1>
      <formula2>1</formula2>
    </dataValidation>
    <dataValidation type="custom" sqref="D5:D60" xr:uid="{EF195D3E-EF6D-447F-83FC-2C2F9D56A1B0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217211A3-6FB0-44D4-96A4-87C70457838F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FB754-6CAB-47AE-8448-86987F812EE1}">
  <sheetPr codeName="Week15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15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9CF18B9B-0A32-47CC-9C13-BF7737097CF6}">
      <formula1>SpentTimeTypes</formula1>
    </dataValidation>
    <dataValidation type="custom" sqref="D5:D60" xr:uid="{B2B7932F-94DE-4B8A-A440-85F01CD47832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FDAE0531-B35D-4662-847D-1E40374A787F}">
      <formula1>0</formula1>
      <formula2>1</formula2>
    </dataValidation>
    <dataValidation type="custom" sqref="B5:B60" xr:uid="{FC9A43AB-C257-4930-BF66-5BB834E95F7A}">
      <formula1>AND(OR(ISBLANK($A5),ISBLANK($B5)),$B5&gt;=0,$B5&lt;=1)</formula1>
    </dataValidation>
    <dataValidation type="custom" sqref="C5:C60" xr:uid="{826C43E0-1340-402C-A0BC-6C0A6D180135}">
      <formula1>IF(AND(OR(YEAR($C5)=Year,WeekNumber=1,WeekNumber&gt;=52),WEEKNUM($C5,21)=WeekNumber),OR(COUNTBLANK($A5:$B5)=2,NOT(_xlfn.ISFORMULA($C5))),COUNTBLANK($A5:$C5)=3)</formula1>
    </dataValidation>
    <dataValidation type="custom" sqref="E5:E60" xr:uid="{1EA44202-6FCC-40EC-B81E-800AD1D188AC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57D9-472C-499C-87EA-A47F569B57FD}">
  <sheetPr codeName="Week16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16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486E372D-35F6-4C3D-8D4F-645732701916}">
      <formula1>OR(ISBLANK($D5),_xlfn.ISFORMULA($D5))=ISBLANK($E5)</formula1>
    </dataValidation>
    <dataValidation type="custom" sqref="C5:C60" xr:uid="{1FDF829C-6553-4177-B890-81E79F65D766}">
      <formula1>IF(AND(OR(YEAR($C5)=Year,WeekNumber=1,WeekNumber&gt;=52),WEEKNUM($C5,21)=WeekNumber),OR(COUNTBLANK($A5:$B5)=2,NOT(_xlfn.ISFORMULA($C5))),COUNTBLANK($A5:$C5)=3)</formula1>
    </dataValidation>
    <dataValidation type="custom" sqref="B5:B60" xr:uid="{D8E0A52C-430D-40C1-A427-688726690012}">
      <formula1>AND(OR(ISBLANK($A5),ISBLANK($B5)),$B5&gt;=0,$B5&lt;=1)</formula1>
    </dataValidation>
    <dataValidation type="decimal" sqref="A5:A60" xr:uid="{D656F6F8-1D03-4889-A21B-BEAE9D8E9D88}">
      <formula1>0</formula1>
      <formula2>1</formula2>
    </dataValidation>
    <dataValidation type="custom" sqref="D5:D60" xr:uid="{16379AC7-F79F-4615-A133-0E075A3718F2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681AC6D1-A7D6-411C-9F81-5125C19D01B3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8D1E0-7654-4CF0-B402-3BC5E27719E2}">
  <sheetPr codeName="Week17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17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E4A7B0F4-8FDD-48E6-9232-44FEADB1F5C1}">
      <formula1>SpentTimeTypes</formula1>
    </dataValidation>
    <dataValidation type="custom" sqref="D5:D60" xr:uid="{2CD3FE03-5563-4701-AFF1-962700E483A9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5A3D5D53-2AF6-448C-9E7C-11645C1F889A}">
      <formula1>0</formula1>
      <formula2>1</formula2>
    </dataValidation>
    <dataValidation type="custom" sqref="B5:B60" xr:uid="{E93CC9A9-118A-4DD9-A006-385D2A77F5F1}">
      <formula1>AND(OR(ISBLANK($A5),ISBLANK($B5)),$B5&gt;=0,$B5&lt;=1)</formula1>
    </dataValidation>
    <dataValidation type="custom" sqref="C5:C60" xr:uid="{2D7E9E29-BDF2-4AA1-A7AE-4F0C07E6489F}">
      <formula1>IF(AND(OR(YEAR($C5)=Year,WeekNumber=1,WeekNumber&gt;=52),WEEKNUM($C5,21)=WeekNumber),OR(COUNTBLANK($A5:$B5)=2,NOT(_xlfn.ISFORMULA($C5))),COUNTBLANK($A5:$C5)=3)</formula1>
    </dataValidation>
    <dataValidation type="custom" sqref="E5:E60" xr:uid="{5223B71A-2059-41A9-A8E9-8EB12E7B73D3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36B6D-B3AE-4ED5-9124-6C9D67FDE983}">
  <sheetPr codeName="Week18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18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27264EF8-975E-44EF-BFE2-4BF34BA8CABD}">
      <formula1>OR(ISBLANK($D5),_xlfn.ISFORMULA($D5))=ISBLANK($E5)</formula1>
    </dataValidation>
    <dataValidation type="custom" sqref="C5:C60" xr:uid="{8814B236-F891-49E8-A48B-5BC045ADE4CA}">
      <formula1>IF(AND(OR(YEAR($C5)=Year,WeekNumber=1,WeekNumber&gt;=52),WEEKNUM($C5,21)=WeekNumber),OR(COUNTBLANK($A5:$B5)=2,NOT(_xlfn.ISFORMULA($C5))),COUNTBLANK($A5:$C5)=3)</formula1>
    </dataValidation>
    <dataValidation type="custom" sqref="B5:B60" xr:uid="{2430B8E3-27AC-457C-88B6-F2968FB730D6}">
      <formula1>AND(OR(ISBLANK($A5),ISBLANK($B5)),$B5&gt;=0,$B5&lt;=1)</formula1>
    </dataValidation>
    <dataValidation type="decimal" sqref="A5:A60" xr:uid="{A2584771-FC4F-406E-97BD-8D2C626F4EFD}">
      <formula1>0</formula1>
      <formula2>1</formula2>
    </dataValidation>
    <dataValidation type="custom" sqref="D5:D60" xr:uid="{BE5739EE-34FD-4CD3-94E3-29477896DD9D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833867EC-7880-46DD-9250-81ED59A7209D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F5B81-0B2B-4639-874B-AF9C12ED2589}">
  <sheetPr codeName="Week19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19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082BB761-05BC-430C-907C-E8C4700247E4}">
      <formula1>SpentTimeTypes</formula1>
    </dataValidation>
    <dataValidation type="custom" sqref="D5:D60" xr:uid="{9B6DC5DC-8C4F-4F63-B403-C482F287B558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3005D50A-4E79-4924-9C41-B28C567A62E8}">
      <formula1>0</formula1>
      <formula2>1</formula2>
    </dataValidation>
    <dataValidation type="custom" sqref="B5:B60" xr:uid="{12E49A20-E8AF-461C-9607-EDD36EBC4BAE}">
      <formula1>AND(OR(ISBLANK($A5),ISBLANK($B5)),$B5&gt;=0,$B5&lt;=1)</formula1>
    </dataValidation>
    <dataValidation type="custom" sqref="C5:C60" xr:uid="{464795EC-34E1-4764-A8E8-4B888B8D8604}">
      <formula1>IF(AND(OR(YEAR($C5)=Year,WeekNumber=1,WeekNumber&gt;=52),WEEKNUM($C5,21)=WeekNumber),OR(COUNTBLANK($A5:$B5)=2,NOT(_xlfn.ISFORMULA($C5))),COUNTBLANK($A5:$C5)=3)</formula1>
    </dataValidation>
    <dataValidation type="custom" sqref="E5:E60" xr:uid="{EFB2517D-A8AB-4D1B-8377-EACDF17EC339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E1DD-4F8F-4020-9023-F8291D41597E}">
  <sheetPr codeName="Week20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20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C4A28CD8-7CB5-4DE5-B66E-9BE45374FE47}">
      <formula1>OR(ISBLANK($D5),_xlfn.ISFORMULA($D5))=ISBLANK($E5)</formula1>
    </dataValidation>
    <dataValidation type="custom" sqref="C5:C60" xr:uid="{C33A920C-2693-47CA-AF38-4F3F970CD6BC}">
      <formula1>IF(AND(OR(YEAR($C5)=Year,WeekNumber=1,WeekNumber&gt;=52),WEEKNUM($C5,21)=WeekNumber),OR(COUNTBLANK($A5:$B5)=2,NOT(_xlfn.ISFORMULA($C5))),COUNTBLANK($A5:$C5)=3)</formula1>
    </dataValidation>
    <dataValidation type="custom" sqref="B5:B60" xr:uid="{936EDC3A-79AE-4674-8B83-CFF2509B04E6}">
      <formula1>AND(OR(ISBLANK($A5),ISBLANK($B5)),$B5&gt;=0,$B5&lt;=1)</formula1>
    </dataValidation>
    <dataValidation type="decimal" sqref="A5:A60" xr:uid="{737D85B5-F23D-416E-8285-2E7DAAF74820}">
      <formula1>0</formula1>
      <formula2>1</formula2>
    </dataValidation>
    <dataValidation type="custom" sqref="D5:D60" xr:uid="{3A889B41-FAE6-4FE0-B7B4-A86CE7AF49A2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500480FC-6F72-4077-9482-DBDC841971F2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B8B78-4E1A-4909-972E-C2F202AC17ED}">
  <sheetPr codeName="Week21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21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E1FAFEEA-5CFF-4E3F-9E36-BE35C7432FDD}">
      <formula1>SpentTimeTypes</formula1>
    </dataValidation>
    <dataValidation type="custom" sqref="D5:D60" xr:uid="{6C0F0783-ECDA-4959-873C-7632AB007104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06D88700-E7F1-4C55-8160-4747E29B7168}">
      <formula1>0</formula1>
      <formula2>1</formula2>
    </dataValidation>
    <dataValidation type="custom" sqref="B5:B60" xr:uid="{353FDB5C-3980-431A-9F25-E318ED7D5409}">
      <formula1>AND(OR(ISBLANK($A5),ISBLANK($B5)),$B5&gt;=0,$B5&lt;=1)</formula1>
    </dataValidation>
    <dataValidation type="custom" sqref="C5:C60" xr:uid="{6244134E-16C2-4CA5-92F2-840E8E7605B3}">
      <formula1>IF(AND(OR(YEAR($C5)=Year,WeekNumber=1,WeekNumber&gt;=52),WEEKNUM($C5,21)=WeekNumber),OR(COUNTBLANK($A5:$B5)=2,NOT(_xlfn.ISFORMULA($C5))),COUNTBLANK($A5:$C5)=3)</formula1>
    </dataValidation>
    <dataValidation type="custom" sqref="E5:E60" xr:uid="{6BF525B1-8EB7-404A-86FB-389BB4033702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294DB-BA8E-4EEC-B0D7-4A8ECD4BD081}">
  <sheetPr codeName="Week22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22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DC39A8EE-F59A-474E-88FD-87F786EE2F30}">
      <formula1>OR(ISBLANK($D5),_xlfn.ISFORMULA($D5))=ISBLANK($E5)</formula1>
    </dataValidation>
    <dataValidation type="custom" sqref="C5:C60" xr:uid="{F4ADEFA9-5548-438B-BA04-855E40AD2953}">
      <formula1>IF(AND(OR(YEAR($C5)=Year,WeekNumber=1,WeekNumber&gt;=52),WEEKNUM($C5,21)=WeekNumber),OR(COUNTBLANK($A5:$B5)=2,NOT(_xlfn.ISFORMULA($C5))),COUNTBLANK($A5:$C5)=3)</formula1>
    </dataValidation>
    <dataValidation type="custom" sqref="B5:B60" xr:uid="{71E26164-4A33-401B-A2C8-ED2B2BBCC482}">
      <formula1>AND(OR(ISBLANK($A5),ISBLANK($B5)),$B5&gt;=0,$B5&lt;=1)</formula1>
    </dataValidation>
    <dataValidation type="decimal" sqref="A5:A60" xr:uid="{54592677-F37A-4CF3-AB6D-EB96ECD6282A}">
      <formula1>0</formula1>
      <formula2>1</formula2>
    </dataValidation>
    <dataValidation type="custom" sqref="D5:D60" xr:uid="{EEB02B02-EFD3-4F1A-8078-D8174A6573FF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BBFFF322-0252-40CD-AD8C-1CB45BF62F54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FA9F-4488-4264-B1A2-DB4F1F68DAA0}">
  <sheetPr codeName="Week23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23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1F871238-274F-4A37-82E9-5204DBFDCCFF}">
      <formula1>SpentTimeTypes</formula1>
    </dataValidation>
    <dataValidation type="custom" sqref="D5:D60" xr:uid="{7FB70C6A-35E4-4BC4-85AE-CC28B0B4551C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CAC206F5-043B-4C4F-9359-9F2C1CAD0ECE}">
      <formula1>0</formula1>
      <formula2>1</formula2>
    </dataValidation>
    <dataValidation type="custom" sqref="B5:B60" xr:uid="{A7265025-1ED8-4F9B-BBCD-2D1520DEA32B}">
      <formula1>AND(OR(ISBLANK($A5),ISBLANK($B5)),$B5&gt;=0,$B5&lt;=1)</formula1>
    </dataValidation>
    <dataValidation type="custom" sqref="C5:C60" xr:uid="{2AC1B70C-132E-4592-B8C9-9E5859728F29}">
      <formula1>IF(AND(OR(YEAR($C5)=Year,WeekNumber=1,WeekNumber&gt;=52),WEEKNUM($C5,21)=WeekNumber),OR(COUNTBLANK($A5:$B5)=2,NOT(_xlfn.ISFORMULA($C5))),COUNTBLANK($A5:$C5)=3)</formula1>
    </dataValidation>
    <dataValidation type="custom" sqref="E5:E60" xr:uid="{7B3E62B3-EE82-4A4C-B691-A430EC7ECC1E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28F9-DA59-4813-940F-F1CB6BE72B60}">
  <sheetPr codeName="Week24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24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FE51EFC2-A6D6-4882-A88B-9FEE7F5DBED1}">
      <formula1>OR(ISBLANK($D5),_xlfn.ISFORMULA($D5))=ISBLANK($E5)</formula1>
    </dataValidation>
    <dataValidation type="custom" sqref="C5:C60" xr:uid="{67AB6A6E-6E5C-4C01-98D8-94B34B736F5C}">
      <formula1>IF(AND(OR(YEAR($C5)=Year,WeekNumber=1,WeekNumber&gt;=52),WEEKNUM($C5,21)=WeekNumber),OR(COUNTBLANK($A5:$B5)=2,NOT(_xlfn.ISFORMULA($C5))),COUNTBLANK($A5:$C5)=3)</formula1>
    </dataValidation>
    <dataValidation type="custom" sqref="B5:B60" xr:uid="{80FB5134-317A-472B-BB77-A1D56E769609}">
      <formula1>AND(OR(ISBLANK($A5),ISBLANK($B5)),$B5&gt;=0,$B5&lt;=1)</formula1>
    </dataValidation>
    <dataValidation type="decimal" sqref="A5:A60" xr:uid="{FE4031F2-B214-4CDB-BD08-B02B348597A7}">
      <formula1>0</formula1>
      <formula2>1</formula2>
    </dataValidation>
    <dataValidation type="custom" sqref="D5:D60" xr:uid="{19D936F9-47F6-4283-AFC8-EF422D0D7AD4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DB37ED9E-009C-4D1D-AB81-B93FEC90EA81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450BE-B426-4736-956F-6A40AA4891A7}">
  <sheetPr codeName="Week25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25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27CCC967-77BF-4E41-BA18-9A0A4780A0FD}">
      <formula1>SpentTimeTypes</formula1>
    </dataValidation>
    <dataValidation type="custom" sqref="D5:D60" xr:uid="{0BA1C9A9-6AA8-4E35-943B-D8DC538C043F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4C2A258B-1FB6-419D-ABCF-F43399D2F415}">
      <formula1>0</formula1>
      <formula2>1</formula2>
    </dataValidation>
    <dataValidation type="custom" sqref="B5:B60" xr:uid="{1849EA0B-350E-4E96-84D2-933625E6E054}">
      <formula1>AND(OR(ISBLANK($A5),ISBLANK($B5)),$B5&gt;=0,$B5&lt;=1)</formula1>
    </dataValidation>
    <dataValidation type="custom" sqref="C5:C60" xr:uid="{26D66238-F83B-419D-9DD7-1539B6645C45}">
      <formula1>IF(AND(OR(YEAR($C5)=Year,WeekNumber=1,WeekNumber&gt;=52),WEEKNUM($C5,21)=WeekNumber),OR(COUNTBLANK($A5:$B5)=2,NOT(_xlfn.ISFORMULA($C5))),COUNTBLANK($A5:$C5)=3)</formula1>
    </dataValidation>
    <dataValidation type="custom" sqref="E5:E60" xr:uid="{99AEA6BD-8538-4DB0-8730-3B50286EB5FA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0E152-A0E5-42E8-9E24-89987129E349}">
  <sheetPr codeName="Week26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26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AB6B1578-70F4-4FD1-9D74-89DF23A45966}">
      <formula1>OR(ISBLANK($D5),_xlfn.ISFORMULA($D5))=ISBLANK($E5)</formula1>
    </dataValidation>
    <dataValidation type="custom" sqref="C5:C60" xr:uid="{FD53644B-91F0-4CA8-9923-B1808877C47D}">
      <formula1>IF(AND(OR(YEAR($C5)=Year,WeekNumber=1,WeekNumber&gt;=52),WEEKNUM($C5,21)=WeekNumber),OR(COUNTBLANK($A5:$B5)=2,NOT(_xlfn.ISFORMULA($C5))),COUNTBLANK($A5:$C5)=3)</formula1>
    </dataValidation>
    <dataValidation type="custom" sqref="B5:B60" xr:uid="{F1DF9C84-E7EE-4E3E-8740-59EA8725256D}">
      <formula1>AND(OR(ISBLANK($A5),ISBLANK($B5)),$B5&gt;=0,$B5&lt;=1)</formula1>
    </dataValidation>
    <dataValidation type="decimal" sqref="A5:A60" xr:uid="{263DF432-6E84-4B63-B960-48EFBC4E9EA6}">
      <formula1>0</formula1>
      <formula2>1</formula2>
    </dataValidation>
    <dataValidation type="custom" sqref="D5:D60" xr:uid="{D5403C26-A537-4229-9393-1AB64191F7E8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A15686CA-A889-4B39-85DF-596EA8E59A02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47D4-CB14-41DF-AF38-C4536427EA0A}">
  <sheetPr codeName="Week27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27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6DCBD5D2-5AA6-435F-BE16-DEECAB7E6A7E}">
      <formula1>SpentTimeTypes</formula1>
    </dataValidation>
    <dataValidation type="custom" sqref="D5:D60" xr:uid="{E4CC1DF8-6AC8-435B-AA6B-F096E8DE0082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9B9C6CBB-330A-4478-9D27-AB89D5731260}">
      <formula1>0</formula1>
      <formula2>1</formula2>
    </dataValidation>
    <dataValidation type="custom" sqref="B5:B60" xr:uid="{846984DF-9A2A-47FE-9B10-19918F0F7DDB}">
      <formula1>AND(OR(ISBLANK($A5),ISBLANK($B5)),$B5&gt;=0,$B5&lt;=1)</formula1>
    </dataValidation>
    <dataValidation type="custom" sqref="C5:C60" xr:uid="{4130093C-09FB-41C3-8326-DA857C1D2715}">
      <formula1>IF(AND(OR(YEAR($C5)=Year,WeekNumber=1,WeekNumber&gt;=52),WEEKNUM($C5,21)=WeekNumber),OR(COUNTBLANK($A5:$B5)=2,NOT(_xlfn.ISFORMULA($C5))),COUNTBLANK($A5:$C5)=3)</formula1>
    </dataValidation>
    <dataValidation type="custom" sqref="E5:E60" xr:uid="{0360EDD5-1EC6-43C0-A28A-F8266AABA337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5AFD6-22B0-4793-8926-58B952E39E2B}">
  <sheetPr codeName="Week28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28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3A94B95D-00F9-4A2E-86A7-33BFDF2F6918}">
      <formula1>OR(ISBLANK($D5),_xlfn.ISFORMULA($D5))=ISBLANK($E5)</formula1>
    </dataValidation>
    <dataValidation type="custom" sqref="C5:C60" xr:uid="{0DF93C39-7F63-4341-99CF-607C3662E1DF}">
      <formula1>IF(AND(OR(YEAR($C5)=Year,WeekNumber=1,WeekNumber&gt;=52),WEEKNUM($C5,21)=WeekNumber),OR(COUNTBLANK($A5:$B5)=2,NOT(_xlfn.ISFORMULA($C5))),COUNTBLANK($A5:$C5)=3)</formula1>
    </dataValidation>
    <dataValidation type="custom" sqref="B5:B60" xr:uid="{AFAC02F9-9D1A-40AD-B4F3-62D71801B97B}">
      <formula1>AND(OR(ISBLANK($A5),ISBLANK($B5)),$B5&gt;=0,$B5&lt;=1)</formula1>
    </dataValidation>
    <dataValidation type="decimal" sqref="A5:A60" xr:uid="{F5F0D437-86B6-48E7-B917-1603E0F47643}">
      <formula1>0</formula1>
      <formula2>1</formula2>
    </dataValidation>
    <dataValidation type="custom" sqref="D5:D60" xr:uid="{00580A56-60F9-469E-9B04-14D08885DCFB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AAB0ED5A-C379-4AB9-8CF2-968207421EF9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7F46E-2DF9-4974-AD52-764D64ABE23A}">
  <sheetPr codeName="Week29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29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4F95B84A-AE6A-4F0C-A84B-8D53F1448ACD}">
      <formula1>SpentTimeTypes</formula1>
    </dataValidation>
    <dataValidation type="custom" sqref="D5:D60" xr:uid="{FC3746A9-3FEE-455E-95DD-009FFAFE02DA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0861C9DE-0C8F-466A-8C09-6BD39FD78705}">
      <formula1>0</formula1>
      <formula2>1</formula2>
    </dataValidation>
    <dataValidation type="custom" sqref="B5:B60" xr:uid="{7CC5D915-2AFA-4C85-86A8-13EF4DBE4121}">
      <formula1>AND(OR(ISBLANK($A5),ISBLANK($B5)),$B5&gt;=0,$B5&lt;=1)</formula1>
    </dataValidation>
    <dataValidation type="custom" sqref="C5:C60" xr:uid="{F80D2CAE-9E99-45DA-B6F9-1505A2E1780C}">
      <formula1>IF(AND(OR(YEAR($C5)=Year,WeekNumber=1,WeekNumber&gt;=52),WEEKNUM($C5,21)=WeekNumber),OR(COUNTBLANK($A5:$B5)=2,NOT(_xlfn.ISFORMULA($C5))),COUNTBLANK($A5:$C5)=3)</formula1>
    </dataValidation>
    <dataValidation type="custom" sqref="E5:E60" xr:uid="{722F0A86-DEC5-4794-A375-54CE6EF9DF8E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1951C-263D-4999-A3FD-85F4FBB5646C}">
  <sheetPr codeName="Week30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30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2E53242A-6443-4264-872B-0B47EF1BE047}">
      <formula1>OR(ISBLANK($D5),_xlfn.ISFORMULA($D5))=ISBLANK($E5)</formula1>
    </dataValidation>
    <dataValidation type="custom" sqref="C5:C60" xr:uid="{02ADCE0A-AE10-47B6-884A-FECAE5F2EE05}">
      <formula1>IF(AND(OR(YEAR($C5)=Year,WeekNumber=1,WeekNumber&gt;=52),WEEKNUM($C5,21)=WeekNumber),OR(COUNTBLANK($A5:$B5)=2,NOT(_xlfn.ISFORMULA($C5))),COUNTBLANK($A5:$C5)=3)</formula1>
    </dataValidation>
    <dataValidation type="custom" sqref="B5:B60" xr:uid="{8C7AC0C2-F56D-4AF7-A9E0-2078EAC02B3F}">
      <formula1>AND(OR(ISBLANK($A5),ISBLANK($B5)),$B5&gt;=0,$B5&lt;=1)</formula1>
    </dataValidation>
    <dataValidation type="decimal" sqref="A5:A60" xr:uid="{F038D778-3A58-4FF3-9E69-EAE8CC09B644}">
      <formula1>0</formula1>
      <formula2>1</formula2>
    </dataValidation>
    <dataValidation type="custom" sqref="D5:D60" xr:uid="{552C9749-EB0F-43E6-BC2E-F4797CA1CA70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DBB98E27-3FA2-4D1C-9049-138290C6A5AE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F9A13-6F5C-4DF5-A8A7-33C201A73281}">
  <sheetPr codeName="Week31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31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9CAEBA6B-891A-4223-8C9D-1D1A7A4FCDAA}">
      <formula1>SpentTimeTypes</formula1>
    </dataValidation>
    <dataValidation type="custom" sqref="D5:D60" xr:uid="{40355B22-9C00-4308-B4D8-D876721CE3BE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061EC1A5-5DD6-4604-A747-8C04613B49E7}">
      <formula1>0</formula1>
      <formula2>1</formula2>
    </dataValidation>
    <dataValidation type="custom" sqref="B5:B60" xr:uid="{E35ACE4E-E51D-4061-BB0C-DBA9324557D9}">
      <formula1>AND(OR(ISBLANK($A5),ISBLANK($B5)),$B5&gt;=0,$B5&lt;=1)</formula1>
    </dataValidation>
    <dataValidation type="custom" sqref="C5:C60" xr:uid="{356414F7-DA11-40AE-A920-A98B4D4F4774}">
      <formula1>IF(AND(OR(YEAR($C5)=Year,WeekNumber=1,WeekNumber&gt;=52),WEEKNUM($C5,21)=WeekNumber),OR(COUNTBLANK($A5:$B5)=2,NOT(_xlfn.ISFORMULA($C5))),COUNTBLANK($A5:$C5)=3)</formula1>
    </dataValidation>
    <dataValidation type="custom" sqref="E5:E60" xr:uid="{907C4ECC-E439-458F-8E70-FE3223DD72C7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32E5F-D67E-4A49-8B53-CDE0635865B1}">
  <sheetPr codeName="Week32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32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0F8662F7-C504-4B65-85F9-480E33AE426A}">
      <formula1>OR(ISBLANK($D5),_xlfn.ISFORMULA($D5))=ISBLANK($E5)</formula1>
    </dataValidation>
    <dataValidation type="custom" sqref="C5:C60" xr:uid="{C9430785-EDF5-4CC3-AF44-75524FDE4CC5}">
      <formula1>IF(AND(OR(YEAR($C5)=Year,WeekNumber=1,WeekNumber&gt;=52),WEEKNUM($C5,21)=WeekNumber),OR(COUNTBLANK($A5:$B5)=2,NOT(_xlfn.ISFORMULA($C5))),COUNTBLANK($A5:$C5)=3)</formula1>
    </dataValidation>
    <dataValidation type="custom" sqref="B5:B60" xr:uid="{872F12D9-31DE-446B-B3B1-F3427A4C369F}">
      <formula1>AND(OR(ISBLANK($A5),ISBLANK($B5)),$B5&gt;=0,$B5&lt;=1)</formula1>
    </dataValidation>
    <dataValidation type="decimal" sqref="A5:A60" xr:uid="{C96C264A-E7B2-40A9-A9E3-5680F6FCC645}">
      <formula1>0</formula1>
      <formula2>1</formula2>
    </dataValidation>
    <dataValidation type="custom" sqref="D5:D60" xr:uid="{94DEF6C8-DB3B-4A7F-B2C3-4B9CE36EF882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D005D170-1403-4B43-B6D7-3F8F5AF242A5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F2A10-1B10-4539-ADED-4E89EA1C538A}">
  <sheetPr codeName="Week33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33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50CE5EDD-205C-4174-9653-9FBCD7978E7B}">
      <formula1>SpentTimeTypes</formula1>
    </dataValidation>
    <dataValidation type="custom" sqref="D5:D60" xr:uid="{A6454A83-7065-43CD-8806-91B1301C14D8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BCF2CDCD-4929-4A15-827D-75E73EB40EB6}">
      <formula1>0</formula1>
      <formula2>1</formula2>
    </dataValidation>
    <dataValidation type="custom" sqref="B5:B60" xr:uid="{E166E38F-EE61-4883-A806-8792ABFACA0E}">
      <formula1>AND(OR(ISBLANK($A5),ISBLANK($B5)),$B5&gt;=0,$B5&lt;=1)</formula1>
    </dataValidation>
    <dataValidation type="custom" sqref="C5:C60" xr:uid="{F03E4230-4EAF-4939-8F22-568E5C761C23}">
      <formula1>IF(AND(OR(YEAR($C5)=Year,WeekNumber=1,WeekNumber&gt;=52),WEEKNUM($C5,21)=WeekNumber),OR(COUNTBLANK($A5:$B5)=2,NOT(_xlfn.ISFORMULA($C5))),COUNTBLANK($A5:$C5)=3)</formula1>
    </dataValidation>
    <dataValidation type="custom" sqref="E5:E60" xr:uid="{23C6EBF0-360E-4E54-96E6-10F9F79EA7A8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836FA-0510-4B5A-8C0C-E4EB861AFA44}">
  <sheetPr codeName="Week34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34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CEC152A0-40F9-45A7-8979-23DA64B57B8E}">
      <formula1>OR(ISBLANK($D5),_xlfn.ISFORMULA($D5))=ISBLANK($E5)</formula1>
    </dataValidation>
    <dataValidation type="custom" sqref="C5:C60" xr:uid="{EB3E2BF9-5ADB-450D-8108-AA1AA203A195}">
      <formula1>IF(AND(OR(YEAR($C5)=Year,WeekNumber=1,WeekNumber&gt;=52),WEEKNUM($C5,21)=WeekNumber),OR(COUNTBLANK($A5:$B5)=2,NOT(_xlfn.ISFORMULA($C5))),COUNTBLANK($A5:$C5)=3)</formula1>
    </dataValidation>
    <dataValidation type="custom" sqref="B5:B60" xr:uid="{1131B2C3-F412-468F-86F8-D8DFF6649BFD}">
      <formula1>AND(OR(ISBLANK($A5),ISBLANK($B5)),$B5&gt;=0,$B5&lt;=1)</formula1>
    </dataValidation>
    <dataValidation type="decimal" sqref="A5:A60" xr:uid="{347C50D7-BFF9-4CEB-ABE7-649D8F239608}">
      <formula1>0</formula1>
      <formula2>1</formula2>
    </dataValidation>
    <dataValidation type="custom" sqref="D5:D60" xr:uid="{D5D11024-2E2C-41A7-B1B2-2551134ABF76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4757DA1E-0E3C-43D6-A871-9FFD7294C261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E8DA-F217-4552-BEAA-7F1ABDA12C06}">
  <sheetPr codeName="Week35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35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A5123670-83AA-4BF3-B4C1-3989C0F03323}">
      <formula1>SpentTimeTypes</formula1>
    </dataValidation>
    <dataValidation type="custom" sqref="D5:D60" xr:uid="{112D5195-D889-4D0D-B5BA-82099B8D351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DD34F8FF-A5DC-4C53-964D-2827EB4B5A99}">
      <formula1>0</formula1>
      <formula2>1</formula2>
    </dataValidation>
    <dataValidation type="custom" sqref="B5:B60" xr:uid="{E30A8758-101E-4F15-AB74-2FE498CB87C5}">
      <formula1>AND(OR(ISBLANK($A5),ISBLANK($B5)),$B5&gt;=0,$B5&lt;=1)</formula1>
    </dataValidation>
    <dataValidation type="custom" sqref="C5:C60" xr:uid="{DA7C2BCC-8174-4D95-8F85-C69D0771CC20}">
      <formula1>IF(AND(OR(YEAR($C5)=Year,WeekNumber=1,WeekNumber&gt;=52),WEEKNUM($C5,21)=WeekNumber),OR(COUNTBLANK($A5:$B5)=2,NOT(_xlfn.ISFORMULA($C5))),COUNTBLANK($A5:$C5)=3)</formula1>
    </dataValidation>
    <dataValidation type="custom" sqref="E5:E60" xr:uid="{20690AF8-3F17-42D7-B190-DF9F0001D178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3B410-DDD2-4E6E-B4C4-91A8312075BE}">
  <sheetPr codeName="Week36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36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18EB24E2-D9FA-4897-A896-0F88A50A47F9}">
      <formula1>OR(ISBLANK($D5),_xlfn.ISFORMULA($D5))=ISBLANK($E5)</formula1>
    </dataValidation>
    <dataValidation type="custom" sqref="C5:C60" xr:uid="{63F3BBD9-FBD9-47C3-81EB-FF51FC565272}">
      <formula1>IF(AND(OR(YEAR($C5)=Year,WeekNumber=1,WeekNumber&gt;=52),WEEKNUM($C5,21)=WeekNumber),OR(COUNTBLANK($A5:$B5)=2,NOT(_xlfn.ISFORMULA($C5))),COUNTBLANK($A5:$C5)=3)</formula1>
    </dataValidation>
    <dataValidation type="custom" sqref="B5:B60" xr:uid="{5633C309-0D4F-4EC6-AD8B-C7CF4C9F77BA}">
      <formula1>AND(OR(ISBLANK($A5),ISBLANK($B5)),$B5&gt;=0,$B5&lt;=1)</formula1>
    </dataValidation>
    <dataValidation type="decimal" sqref="A5:A60" xr:uid="{119D4281-5108-45CF-B5B4-84BA16AAF660}">
      <formula1>0</formula1>
      <formula2>1</formula2>
    </dataValidation>
    <dataValidation type="custom" sqref="D5:D60" xr:uid="{0DAC6E79-902B-4762-B9EA-28C86C2257D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AD87A898-F566-45B8-BBD1-33C3C7A9B797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562CF-31D5-467D-B9CF-4989CE5980F6}">
  <sheetPr codeName="Week37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37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A487743E-848C-4317-B297-96D325D43429}">
      <formula1>SpentTimeTypes</formula1>
    </dataValidation>
    <dataValidation type="custom" sqref="D5:D60" xr:uid="{70F252F2-E899-4B80-8AD6-81416600C376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BB953E2E-957F-4FCD-BFCF-31C5C9CB72F4}">
      <formula1>0</formula1>
      <formula2>1</formula2>
    </dataValidation>
    <dataValidation type="custom" sqref="B5:B60" xr:uid="{F416E934-64ED-4F8E-B9E6-DE3A0BF44B1D}">
      <formula1>AND(OR(ISBLANK($A5),ISBLANK($B5)),$B5&gt;=0,$B5&lt;=1)</formula1>
    </dataValidation>
    <dataValidation type="custom" sqref="C5:C60" xr:uid="{1F860104-8A29-484E-8F1A-E5758C2A7C78}">
      <formula1>IF(AND(OR(YEAR($C5)=Year,WeekNumber=1,WeekNumber&gt;=52),WEEKNUM($C5,21)=WeekNumber),OR(COUNTBLANK($A5:$B5)=2,NOT(_xlfn.ISFORMULA($C5))),COUNTBLANK($A5:$C5)=3)</formula1>
    </dataValidation>
    <dataValidation type="custom" sqref="E5:E60" xr:uid="{B9EA1142-E3FB-45BC-B46F-D7E7EBF04D88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9EE2-8735-41E8-8A8C-B001C16ABDCF}">
  <sheetPr codeName="Week38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38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F421AB17-8934-4FBF-943E-A4ED62AF270B}">
      <formula1>OR(ISBLANK($D5),_xlfn.ISFORMULA($D5))=ISBLANK($E5)</formula1>
    </dataValidation>
    <dataValidation type="custom" sqref="C5:C60" xr:uid="{FB0B14A4-35BD-486B-887F-460575A8CB91}">
      <formula1>IF(AND(OR(YEAR($C5)=Year,WeekNumber=1,WeekNumber&gt;=52),WEEKNUM($C5,21)=WeekNumber),OR(COUNTBLANK($A5:$B5)=2,NOT(_xlfn.ISFORMULA($C5))),COUNTBLANK($A5:$C5)=3)</formula1>
    </dataValidation>
    <dataValidation type="custom" sqref="B5:B60" xr:uid="{5CE89E09-4CDE-4979-811C-871E3C8975D4}">
      <formula1>AND(OR(ISBLANK($A5),ISBLANK($B5)),$B5&gt;=0,$B5&lt;=1)</formula1>
    </dataValidation>
    <dataValidation type="decimal" sqref="A5:A60" xr:uid="{6565FDCC-BBD2-4F13-9D92-FD2F4553390C}">
      <formula1>0</formula1>
      <formula2>1</formula2>
    </dataValidation>
    <dataValidation type="custom" sqref="D5:D60" xr:uid="{2582AFB3-6A59-43B7-A8E5-12EAF5C62663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BFBFB1C8-6DD4-4809-B0FE-19D80BB0F978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F98B4-6EE2-4A35-98F7-1E5E26950E77}">
  <sheetPr codeName="Week39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39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733715A5-0F4E-4473-A14B-6616CEE297C0}">
      <formula1>SpentTimeTypes</formula1>
    </dataValidation>
    <dataValidation type="custom" sqref="D5:D60" xr:uid="{FCD70618-A3D0-493B-A6EB-9474C6C96BAE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1D8E3950-FAB3-494E-A580-19158BC37685}">
      <formula1>0</formula1>
      <formula2>1</formula2>
    </dataValidation>
    <dataValidation type="custom" sqref="B5:B60" xr:uid="{33BF4CEE-CC9E-4F45-B7EE-304751446BB2}">
      <formula1>AND(OR(ISBLANK($A5),ISBLANK($B5)),$B5&gt;=0,$B5&lt;=1)</formula1>
    </dataValidation>
    <dataValidation type="custom" sqref="C5:C60" xr:uid="{5C5F0F8E-D675-48E6-B312-5FF663CA7784}">
      <formula1>IF(AND(OR(YEAR($C5)=Year,WeekNumber=1,WeekNumber&gt;=52),WEEKNUM($C5,21)=WeekNumber),OR(COUNTBLANK($A5:$B5)=2,NOT(_xlfn.ISFORMULA($C5))),COUNTBLANK($A5:$C5)=3)</formula1>
    </dataValidation>
    <dataValidation type="custom" sqref="E5:E60" xr:uid="{C22B62C2-F7C2-404A-A3FF-4DD96C231B73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2F9D-0FDB-4C79-A255-4B62CFADE762}">
  <sheetPr codeName="Week40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40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239390DB-ABA1-4C1D-9D19-6C6BD66BC2D8}">
      <formula1>OR(ISBLANK($D5),_xlfn.ISFORMULA($D5))=ISBLANK($E5)</formula1>
    </dataValidation>
    <dataValidation type="custom" sqref="C5:C60" xr:uid="{1607D2DA-FC2E-43AF-BE87-BADA12CABEFA}">
      <formula1>IF(AND(OR(YEAR($C5)=Year,WeekNumber=1,WeekNumber&gt;=52),WEEKNUM($C5,21)=WeekNumber),OR(COUNTBLANK($A5:$B5)=2,NOT(_xlfn.ISFORMULA($C5))),COUNTBLANK($A5:$C5)=3)</formula1>
    </dataValidation>
    <dataValidation type="custom" sqref="B5:B60" xr:uid="{E5BFDD85-306B-4EC9-A6E6-5541D1E1A73A}">
      <formula1>AND(OR(ISBLANK($A5),ISBLANK($B5)),$B5&gt;=0,$B5&lt;=1)</formula1>
    </dataValidation>
    <dataValidation type="decimal" sqref="A5:A60" xr:uid="{27245FB9-AE74-436E-9CC0-F2933607CFE6}">
      <formula1>0</formula1>
      <formula2>1</formula2>
    </dataValidation>
    <dataValidation type="custom" sqref="D5:D60" xr:uid="{241B74A3-E745-4B90-9269-CAB03E358AA1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64E1F837-6EB5-4C16-A1CE-32DFE0737F42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FE02-6FF7-4D44-A1C9-13962E47487D}">
  <sheetPr codeName="Week41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41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3B21E6AC-2E89-48B7-9DAF-93197948AE2A}">
      <formula1>SpentTimeTypes</formula1>
    </dataValidation>
    <dataValidation type="custom" sqref="D5:D60" xr:uid="{DC587DDF-4929-4FD3-A077-20D21EB64D2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D8368351-E75E-4B11-A6ED-78F865ACEA15}">
      <formula1>0</formula1>
      <formula2>1</formula2>
    </dataValidation>
    <dataValidation type="custom" sqref="B5:B60" xr:uid="{869E16B0-11DA-4694-BAEA-7EFB7E36F1D9}">
      <formula1>AND(OR(ISBLANK($A5),ISBLANK($B5)),$B5&gt;=0,$B5&lt;=1)</formula1>
    </dataValidation>
    <dataValidation type="custom" sqref="C5:C60" xr:uid="{A759AC9F-3AD5-478F-B3C0-E3018B67CDB2}">
      <formula1>IF(AND(OR(YEAR($C5)=Year,WeekNumber=1,WeekNumber&gt;=52),WEEKNUM($C5,21)=WeekNumber),OR(COUNTBLANK($A5:$B5)=2,NOT(_xlfn.ISFORMULA($C5))),COUNTBLANK($A5:$C5)=3)</formula1>
    </dataValidation>
    <dataValidation type="custom" sqref="E5:E60" xr:uid="{08D1F8CA-39BA-41F9-9361-54A7F7A08F7D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B66D6-5A38-495E-9AD4-B2D8A128C796}">
  <sheetPr codeName="Week42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42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F5C57A63-F55F-4991-AAF7-6C9B6A606106}">
      <formula1>OR(ISBLANK($D5),_xlfn.ISFORMULA($D5))=ISBLANK($E5)</formula1>
    </dataValidation>
    <dataValidation type="custom" sqref="C5:C60" xr:uid="{08221E3E-E8FA-484A-96C3-88CCAFCD0BC2}">
      <formula1>IF(AND(OR(YEAR($C5)=Year,WeekNumber=1,WeekNumber&gt;=52),WEEKNUM($C5,21)=WeekNumber),OR(COUNTBLANK($A5:$B5)=2,NOT(_xlfn.ISFORMULA($C5))),COUNTBLANK($A5:$C5)=3)</formula1>
    </dataValidation>
    <dataValidation type="custom" sqref="B5:B60" xr:uid="{7349FC62-1231-4B99-B1A5-CAE38F8D2836}">
      <formula1>AND(OR(ISBLANK($A5),ISBLANK($B5)),$B5&gt;=0,$B5&lt;=1)</formula1>
    </dataValidation>
    <dataValidation type="decimal" sqref="A5:A60" xr:uid="{DA37A94E-7947-4EBA-A441-9C64537C9D25}">
      <formula1>0</formula1>
      <formula2>1</formula2>
    </dataValidation>
    <dataValidation type="custom" sqref="D5:D60" xr:uid="{F050E04D-F306-4ED1-B1C2-A636C086D686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35295B7D-A553-49A1-874D-C4446E14AAF0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543F0-1122-4538-BE05-3B67C0B1B34C}">
  <sheetPr codeName="Week43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43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5E856707-5B74-4BD0-AE33-44520FDCF569}">
      <formula1>SpentTimeTypes</formula1>
    </dataValidation>
    <dataValidation type="custom" sqref="D5:D60" xr:uid="{3DB5CCFB-C042-4965-99CF-398DCB8D4B2F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9AE5081E-59C6-44BF-A454-334D3CD0902D}">
      <formula1>0</formula1>
      <formula2>1</formula2>
    </dataValidation>
    <dataValidation type="custom" sqref="B5:B60" xr:uid="{990583D5-8CEE-45C4-82EC-8114ADB0E4AF}">
      <formula1>AND(OR(ISBLANK($A5),ISBLANK($B5)),$B5&gt;=0,$B5&lt;=1)</formula1>
    </dataValidation>
    <dataValidation type="custom" sqref="C5:C60" xr:uid="{68CCA217-6D7F-4F1A-AA60-41FE3F50BCC0}">
      <formula1>IF(AND(OR(YEAR($C5)=Year,WeekNumber=1,WeekNumber&gt;=52),WEEKNUM($C5,21)=WeekNumber),OR(COUNTBLANK($A5:$B5)=2,NOT(_xlfn.ISFORMULA($C5))),COUNTBLANK($A5:$C5)=3)</formula1>
    </dataValidation>
    <dataValidation type="custom" sqref="E5:E60" xr:uid="{A603FFB1-6C55-408B-AF77-FA73F8874DA8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CFE2-552F-4A7A-94B4-2F8DC2ED3DEB}">
  <sheetPr codeName="Week44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44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6913311A-BB14-402C-972E-353A936A8816}">
      <formula1>OR(ISBLANK($D5),_xlfn.ISFORMULA($D5))=ISBLANK($E5)</formula1>
    </dataValidation>
    <dataValidation type="custom" sqref="C5:C60" xr:uid="{D5F06D22-1B75-4EAF-AD28-0EB017B3A6A6}">
      <formula1>IF(AND(OR(YEAR($C5)=Year,WeekNumber=1,WeekNumber&gt;=52),WEEKNUM($C5,21)=WeekNumber),OR(COUNTBLANK($A5:$B5)=2,NOT(_xlfn.ISFORMULA($C5))),COUNTBLANK($A5:$C5)=3)</formula1>
    </dataValidation>
    <dataValidation type="custom" sqref="B5:B60" xr:uid="{5B46510C-051A-41C9-A063-BA83D625D9EF}">
      <formula1>AND(OR(ISBLANK($A5),ISBLANK($B5)),$B5&gt;=0,$B5&lt;=1)</formula1>
    </dataValidation>
    <dataValidation type="decimal" sqref="A5:A60" xr:uid="{617BD53A-124F-4712-9FC5-870EB8794ABD}">
      <formula1>0</formula1>
      <formula2>1</formula2>
    </dataValidation>
    <dataValidation type="custom" sqref="D5:D60" xr:uid="{4EA966AF-8C0B-45C1-BA70-13CB8706AA3B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F291156F-CAA6-4739-A547-A5B1E3BEE055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2E23-C38B-4CF4-BAE3-AF59482B02FA}">
  <sheetPr codeName="Week45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45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6CB65D06-02FD-4A81-916D-E033E6201666}">
      <formula1>SpentTimeTypes</formula1>
    </dataValidation>
    <dataValidation type="custom" sqref="D5:D60" xr:uid="{69B80E61-3034-4443-A121-8A319EA7B77B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F6CA0D5D-9753-4186-A38F-7B8085392038}">
      <formula1>0</formula1>
      <formula2>1</formula2>
    </dataValidation>
    <dataValidation type="custom" sqref="B5:B60" xr:uid="{7CC9E6C3-4B69-4A58-A791-07B95D94EAF4}">
      <formula1>AND(OR(ISBLANK($A5),ISBLANK($B5)),$B5&gt;=0,$B5&lt;=1)</formula1>
    </dataValidation>
    <dataValidation type="custom" sqref="C5:C60" xr:uid="{04533369-6A64-4099-BBD9-5AE9CF1252D4}">
      <formula1>IF(AND(OR(YEAR($C5)=Year,WeekNumber=1,WeekNumber&gt;=52),WEEKNUM($C5,21)=WeekNumber),OR(COUNTBLANK($A5:$B5)=2,NOT(_xlfn.ISFORMULA($C5))),COUNTBLANK($A5:$C5)=3)</formula1>
    </dataValidation>
    <dataValidation type="custom" sqref="E5:E60" xr:uid="{4219C2C6-1D80-4D60-A746-C2EB3DB1ACED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A4A4E-0FE3-4260-88F1-FAD2ADD02B39}">
  <sheetPr codeName="Week46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46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1657A3CD-4E54-414F-ACD0-47C8B46E8D68}">
      <formula1>OR(ISBLANK($D5),_xlfn.ISFORMULA($D5))=ISBLANK($E5)</formula1>
    </dataValidation>
    <dataValidation type="custom" sqref="C5:C60" xr:uid="{1D1F7CAA-D05A-4A61-8ED2-039DE629C5FC}">
      <formula1>IF(AND(OR(YEAR($C5)=Year,WeekNumber=1,WeekNumber&gt;=52),WEEKNUM($C5,21)=WeekNumber),OR(COUNTBLANK($A5:$B5)=2,NOT(_xlfn.ISFORMULA($C5))),COUNTBLANK($A5:$C5)=3)</formula1>
    </dataValidation>
    <dataValidation type="custom" sqref="B5:B60" xr:uid="{9AB1900B-B79E-4AB9-ABB4-5F91C2F3BCB2}">
      <formula1>AND(OR(ISBLANK($A5),ISBLANK($B5)),$B5&gt;=0,$B5&lt;=1)</formula1>
    </dataValidation>
    <dataValidation type="decimal" sqref="A5:A60" xr:uid="{D5A9120B-1E76-46C5-86AD-1C3F02CFEBBA}">
      <formula1>0</formula1>
      <formula2>1</formula2>
    </dataValidation>
    <dataValidation type="custom" sqref="D5:D60" xr:uid="{56AB0CE5-3BF1-477D-8C8F-B381985B17CC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FC9915C7-B684-4031-9E57-077770E8CCB2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035CE-48E2-4E67-ADD0-AD299DD91440}">
  <sheetPr codeName="Week47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47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08112F53-EC11-4D08-B303-CC01D04054DF}">
      <formula1>SpentTimeTypes</formula1>
    </dataValidation>
    <dataValidation type="custom" sqref="D5:D60" xr:uid="{533A9FF0-E34A-4680-BFC3-0508D48ECC0B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77D1E91C-9A08-4218-B425-893D8CDDBBD3}">
      <formula1>0</formula1>
      <formula2>1</formula2>
    </dataValidation>
    <dataValidation type="custom" sqref="B5:B60" xr:uid="{B55BEB22-A33B-4982-95BC-262821C7EB03}">
      <formula1>AND(OR(ISBLANK($A5),ISBLANK($B5)),$B5&gt;=0,$B5&lt;=1)</formula1>
    </dataValidation>
    <dataValidation type="custom" sqref="C5:C60" xr:uid="{9FCCD146-B7F4-4491-AB2D-70D27701A146}">
      <formula1>IF(AND(OR(YEAR($C5)=Year,WeekNumber=1,WeekNumber&gt;=52),WEEKNUM($C5,21)=WeekNumber),OR(COUNTBLANK($A5:$B5)=2,NOT(_xlfn.ISFORMULA($C5))),COUNTBLANK($A5:$C5)=3)</formula1>
    </dataValidation>
    <dataValidation type="custom" sqref="E5:E60" xr:uid="{6245E66C-16A0-4CA1-A4E3-727A564A29D9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51A82-74B1-43D4-A6AD-BDC62D072014}">
  <sheetPr codeName="Week48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48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DBB504A9-E563-4E8A-B2F3-6A97AB812039}">
      <formula1>OR(ISBLANK($D5),_xlfn.ISFORMULA($D5))=ISBLANK($E5)</formula1>
    </dataValidation>
    <dataValidation type="custom" sqref="C5:C60" xr:uid="{B287C5E2-2438-4D18-9F3B-5276719091EF}">
      <formula1>IF(AND(OR(YEAR($C5)=Year,WeekNumber=1,WeekNumber&gt;=52),WEEKNUM($C5,21)=WeekNumber),OR(COUNTBLANK($A5:$B5)=2,NOT(_xlfn.ISFORMULA($C5))),COUNTBLANK($A5:$C5)=3)</formula1>
    </dataValidation>
    <dataValidation type="custom" sqref="B5:B60" xr:uid="{703F5DC0-AF13-446D-95C1-39DD3AC0BD83}">
      <formula1>AND(OR(ISBLANK($A5),ISBLANK($B5)),$B5&gt;=0,$B5&lt;=1)</formula1>
    </dataValidation>
    <dataValidation type="decimal" sqref="A5:A60" xr:uid="{230D7C78-24DD-4ADE-9558-3DBA3B32BE04}">
      <formula1>0</formula1>
      <formula2>1</formula2>
    </dataValidation>
    <dataValidation type="custom" sqref="D5:D60" xr:uid="{33F6079F-619C-48DC-AAB2-30838A336693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A23897A6-4AD2-4B77-A243-41EE070642D2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BF0B-907A-4872-85A9-D92353729D69}">
  <sheetPr codeName="Week49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49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4485466F-37A2-4801-90F1-FB992D7DECD4}">
      <formula1>SpentTimeTypes</formula1>
    </dataValidation>
    <dataValidation type="custom" sqref="D5:D60" xr:uid="{18667F5F-6E4F-498E-92CB-0F5948105A88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BD80FEDC-38DE-42FC-BAC2-6B595498EA1B}">
      <formula1>0</formula1>
      <formula2>1</formula2>
    </dataValidation>
    <dataValidation type="custom" sqref="B5:B60" xr:uid="{CEE70BF9-B28C-467E-8F2C-0D4E53D53E36}">
      <formula1>AND(OR(ISBLANK($A5),ISBLANK($B5)),$B5&gt;=0,$B5&lt;=1)</formula1>
    </dataValidation>
    <dataValidation type="custom" sqref="C5:C60" xr:uid="{04FB0F16-EAFC-44D7-A19C-9ADDA6F0D33E}">
      <formula1>IF(AND(OR(YEAR($C5)=Year,WeekNumber=1,WeekNumber&gt;=52),WEEKNUM($C5,21)=WeekNumber),OR(COUNTBLANK($A5:$B5)=2,NOT(_xlfn.ISFORMULA($C5))),COUNTBLANK($A5:$C5)=3)</formula1>
    </dataValidation>
    <dataValidation type="custom" sqref="E5:E60" xr:uid="{E0BA32EF-8597-4927-BBCC-CB6E3400D3C4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EA562-F6BE-477E-859E-16857FF30990}">
  <sheetPr codeName="Week50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50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CE6D7C30-46B9-4D15-9BE4-D9400DAD85E6}">
      <formula1>OR(ISBLANK($D5),_xlfn.ISFORMULA($D5))=ISBLANK($E5)</formula1>
    </dataValidation>
    <dataValidation type="custom" sqref="C5:C60" xr:uid="{B62E0F59-4CCD-4831-BFB3-5C42E5696A04}">
      <formula1>IF(AND(OR(YEAR($C5)=Year,WeekNumber=1,WeekNumber&gt;=52),WEEKNUM($C5,21)=WeekNumber),OR(COUNTBLANK($A5:$B5)=2,NOT(_xlfn.ISFORMULA($C5))),COUNTBLANK($A5:$C5)=3)</formula1>
    </dataValidation>
    <dataValidation type="custom" sqref="B5:B60" xr:uid="{B9E6CDD2-93D5-449F-8382-3A483FEF5AD9}">
      <formula1>AND(OR(ISBLANK($A5),ISBLANK($B5)),$B5&gt;=0,$B5&lt;=1)</formula1>
    </dataValidation>
    <dataValidation type="decimal" sqref="A5:A60" xr:uid="{A901253C-BDE6-4FCC-8934-5D64FA11F22D}">
      <formula1>0</formula1>
      <formula2>1</formula2>
    </dataValidation>
    <dataValidation type="custom" sqref="D5:D60" xr:uid="{AC8C1A71-62E1-4CF3-B66B-BDA2ADB369D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E6F32D5F-C126-4A28-8C15-F115CBB11245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3222E-C6C0-4F7C-8223-0F049A586E3A}">
  <sheetPr codeName="Week51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51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1B512DE4-D1A4-4817-A4C1-D7F3023E8931}">
      <formula1>SpentTimeTypes</formula1>
    </dataValidation>
    <dataValidation type="custom" sqref="D5:D60" xr:uid="{A7501FBF-983D-42FF-9980-4385AB26DDA7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E476887E-5B8F-45F7-AEA9-C6EBB0BD72DA}">
      <formula1>0</formula1>
      <formula2>1</formula2>
    </dataValidation>
    <dataValidation type="custom" sqref="B5:B60" xr:uid="{909C65FF-5DAB-4FF3-B84E-18F0D2A90C78}">
      <formula1>AND(OR(ISBLANK($A5),ISBLANK($B5)),$B5&gt;=0,$B5&lt;=1)</formula1>
    </dataValidation>
    <dataValidation type="custom" sqref="C5:C60" xr:uid="{B1D5AD10-9EFF-4D87-98A8-FF45772DABA9}">
      <formula1>IF(AND(OR(YEAR($C5)=Year,WeekNumber=1,WeekNumber&gt;=52),WEEKNUM($C5,21)=WeekNumber),OR(COUNTBLANK($A5:$B5)=2,NOT(_xlfn.ISFORMULA($C5))),COUNTBLANK($A5:$C5)=3)</formula1>
    </dataValidation>
    <dataValidation type="custom" sqref="E5:E60" xr:uid="{00BA75C1-7737-4132-8AAF-DD64C064183D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50160-1F2C-4B18-9E29-2D55116AF349}">
  <sheetPr codeName="Week52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52</v>
      </c>
    </row>
  </sheetData>
  <sheetProtection sheet="1" objects="1" scenarios="1" selectLockedCells="1"/>
  <mergeCells count="2">
    <mergeCell ref="E1:G2"/>
    <mergeCell ref="A3:G3"/>
  </mergeCells>
  <dataValidations count="6">
    <dataValidation type="custom" sqref="E5:E60" xr:uid="{3468C54B-29A2-44E0-B4D2-B53A9B7567BB}">
      <formula1>OR(ISBLANK($D5),_xlfn.ISFORMULA($D5))=ISBLANK($E5)</formula1>
    </dataValidation>
    <dataValidation type="custom" sqref="C5:C60" xr:uid="{C3BD561B-F4F2-422A-8089-2643A5F6935E}">
      <formula1>IF(AND(OR(YEAR($C5)=Year,WeekNumber=1,WeekNumber&gt;=52),WEEKNUM($C5,21)=WeekNumber),OR(COUNTBLANK($A5:$B5)=2,NOT(_xlfn.ISFORMULA($C5))),COUNTBLANK($A5:$C5)=3)</formula1>
    </dataValidation>
    <dataValidation type="custom" sqref="B5:B60" xr:uid="{F4D73F64-5728-40C1-87AE-4A4801EF52A7}">
      <formula1>AND(OR(ISBLANK($A5),ISBLANK($B5)),$B5&gt;=0,$B5&lt;=1)</formula1>
    </dataValidation>
    <dataValidation type="decimal" sqref="A5:A60" xr:uid="{38FC40F7-A8DD-43CE-A27D-1C9C55011C15}">
      <formula1>0</formula1>
      <formula2>1</formula2>
    </dataValidation>
    <dataValidation type="custom" sqref="D5:D60" xr:uid="{E023F09B-063C-4E4C-9F58-ECF8F085CD61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list" allowBlank="1" showInputMessage="1" showErrorMessage="1" sqref="F5:F60" xr:uid="{91D240A1-7D7B-4F81-AA1A-FC15E334B97D}">
      <formula1>SpentTimeTypes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F01-3DAB-4196-9B32-03190730E528}">
  <sheetPr codeName="Week53"/>
  <dimension ref="A1:G62"/>
  <sheetViews>
    <sheetView workbookViewId="0">
      <selection activeCell="C5" sqref="C5"/>
    </sheetView>
  </sheetViews>
  <sheetFormatPr defaultColWidth="0" defaultRowHeight="0" customHeight="1" zeroHeight="1" x14ac:dyDescent="0.2"/>
  <cols>
    <col min="1" max="1" width="8.7109375" style="47" customWidth="1"/>
    <col min="2" max="2" width="5.5703125" style="47" bestFit="1" customWidth="1"/>
    <col min="3" max="4" width="15.85546875" style="47" bestFit="1" customWidth="1"/>
    <col min="5" max="5" width="25.7109375" style="47" customWidth="1"/>
    <col min="6" max="6" width="13.28515625" style="47" bestFit="1" customWidth="1"/>
    <col min="7" max="7" width="130.7109375" style="47" customWidth="1"/>
    <col min="8" max="16384" width="9.140625" style="47" hidden="1"/>
  </cols>
  <sheetData>
    <row r="1" spans="1:7" ht="13.5" thickBot="1" x14ac:dyDescent="0.25">
      <c r="A1" s="16" t="s">
        <v>4</v>
      </c>
      <c r="B1" s="16" t="s">
        <v>5</v>
      </c>
      <c r="C1" s="16" t="s">
        <v>15</v>
      </c>
      <c r="D1" s="16" t="s">
        <v>16</v>
      </c>
      <c r="E1" s="53"/>
      <c r="F1" s="54"/>
      <c r="G1" s="54"/>
    </row>
    <row r="2" spans="1:7" ht="13.5" thickBot="1" x14ac:dyDescent="0.25">
      <c r="A2" s="29">
        <f>SUM(A$5:A$60)</f>
        <v>0</v>
      </c>
      <c r="B2" s="29">
        <f>SUM(B$5:B$60)</f>
        <v>0</v>
      </c>
      <c r="C2" s="17">
        <f ca="1">IF(ActualHours&lt;0.001,0,INDEX(AllocatedWorkingDays,WeekNumber)*AllocatedDailyWorkingFraction)</f>
        <v>0</v>
      </c>
      <c r="D2" s="17">
        <f ca="1">MAX(SUM($D$5:$D$60)-SUM($C$5:$C$60),0)</f>
        <v>0</v>
      </c>
      <c r="E2" s="53"/>
      <c r="F2" s="54"/>
      <c r="G2" s="54"/>
    </row>
    <row r="3" spans="1:7" ht="13.5" thickBot="1" x14ac:dyDescent="0.25">
      <c r="A3" s="55"/>
      <c r="B3" s="55"/>
      <c r="C3" s="55"/>
      <c r="D3" s="55"/>
      <c r="E3" s="55"/>
      <c r="F3" s="55"/>
      <c r="G3" s="55"/>
    </row>
    <row r="4" spans="1:7" ht="13.5" thickBot="1" x14ac:dyDescent="0.25">
      <c r="A4" s="16" t="s">
        <v>4</v>
      </c>
      <c r="B4" s="16" t="s">
        <v>5</v>
      </c>
      <c r="C4" s="16" t="s">
        <v>17</v>
      </c>
      <c r="D4" s="16" t="s">
        <v>18</v>
      </c>
      <c r="E4" s="16" t="s">
        <v>19</v>
      </c>
      <c r="F4" s="18" t="s">
        <v>20</v>
      </c>
      <c r="G4" s="18" t="s">
        <v>21</v>
      </c>
    </row>
    <row r="5" spans="1:7" ht="12.75" x14ac:dyDescent="0.2">
      <c r="A5" s="30"/>
      <c r="B5" s="30"/>
      <c r="C5" s="19">
        <f t="shared" ref="C5:C60" ca="1" si="0">NOW()</f>
        <v>43457.48244965278</v>
      </c>
      <c r="D5" s="19">
        <f t="shared" ref="D5:D60" ca="1" si="1">IF(($A5+$B5)&gt;0,$C5+($A5+$B5)*AllocatedDailyWorkingFraction,NOW())</f>
        <v>43457.48244965278</v>
      </c>
      <c r="E5" s="27"/>
      <c r="F5" s="20"/>
      <c r="G5" s="20"/>
    </row>
    <row r="6" spans="1:7" ht="12.75" x14ac:dyDescent="0.2">
      <c r="A6" s="31"/>
      <c r="B6" s="31"/>
      <c r="C6" s="21">
        <f t="shared" ca="1" si="0"/>
        <v>43457.48244965278</v>
      </c>
      <c r="D6" s="21">
        <f t="shared" ca="1" si="1"/>
        <v>43457.48244965278</v>
      </c>
      <c r="E6" s="12"/>
      <c r="F6" s="12"/>
      <c r="G6" s="12"/>
    </row>
    <row r="7" spans="1:7" ht="12.75" x14ac:dyDescent="0.2">
      <c r="A7" s="31"/>
      <c r="B7" s="31"/>
      <c r="C7" s="21">
        <f t="shared" ca="1" si="0"/>
        <v>43457.48244965278</v>
      </c>
      <c r="D7" s="21">
        <f t="shared" ca="1" si="1"/>
        <v>43457.48244965278</v>
      </c>
      <c r="E7" s="12"/>
      <c r="F7" s="12"/>
      <c r="G7" s="12"/>
    </row>
    <row r="8" spans="1:7" ht="12.75" x14ac:dyDescent="0.2">
      <c r="A8" s="31"/>
      <c r="B8" s="31"/>
      <c r="C8" s="21">
        <f t="shared" ca="1" si="0"/>
        <v>43457.48244965278</v>
      </c>
      <c r="D8" s="21">
        <f t="shared" ca="1" si="1"/>
        <v>43457.48244965278</v>
      </c>
      <c r="E8" s="12"/>
      <c r="F8" s="12"/>
      <c r="G8" s="12"/>
    </row>
    <row r="9" spans="1:7" ht="12.75" x14ac:dyDescent="0.2">
      <c r="A9" s="31"/>
      <c r="B9" s="31"/>
      <c r="C9" s="21">
        <f t="shared" ca="1" si="0"/>
        <v>43457.48244965278</v>
      </c>
      <c r="D9" s="21">
        <f t="shared" ca="1" si="1"/>
        <v>43457.48244965278</v>
      </c>
      <c r="E9" s="21"/>
      <c r="F9" s="12"/>
      <c r="G9" s="12"/>
    </row>
    <row r="10" spans="1:7" ht="12.75" x14ac:dyDescent="0.2">
      <c r="A10" s="31"/>
      <c r="B10" s="31"/>
      <c r="C10" s="21">
        <f t="shared" ca="1" si="0"/>
        <v>43457.48244965278</v>
      </c>
      <c r="D10" s="21">
        <f t="shared" ca="1" si="1"/>
        <v>43457.48244965278</v>
      </c>
      <c r="E10" s="12"/>
      <c r="F10" s="12"/>
      <c r="G10" s="12"/>
    </row>
    <row r="11" spans="1:7" ht="12.75" x14ac:dyDescent="0.2">
      <c r="A11" s="31"/>
      <c r="B11" s="31"/>
      <c r="C11" s="21">
        <f t="shared" ca="1" si="0"/>
        <v>43457.48244965278</v>
      </c>
      <c r="D11" s="21">
        <f t="shared" ca="1" si="1"/>
        <v>43457.48244965278</v>
      </c>
      <c r="E11" s="12"/>
      <c r="F11" s="12"/>
      <c r="G11" s="12"/>
    </row>
    <row r="12" spans="1:7" ht="12.75" x14ac:dyDescent="0.2">
      <c r="A12" s="31"/>
      <c r="B12" s="31"/>
      <c r="C12" s="21">
        <f t="shared" ca="1" si="0"/>
        <v>43457.48244965278</v>
      </c>
      <c r="D12" s="21">
        <f t="shared" ca="1" si="1"/>
        <v>43457.48244965278</v>
      </c>
      <c r="E12" s="12"/>
      <c r="F12" s="12"/>
      <c r="G12" s="12"/>
    </row>
    <row r="13" spans="1:7" ht="12.75" x14ac:dyDescent="0.2">
      <c r="A13" s="31"/>
      <c r="B13" s="31"/>
      <c r="C13" s="21">
        <f t="shared" ca="1" si="0"/>
        <v>43457.48244965278</v>
      </c>
      <c r="D13" s="21">
        <f t="shared" ca="1" si="1"/>
        <v>43457.48244965278</v>
      </c>
      <c r="E13" s="12"/>
      <c r="F13" s="12"/>
      <c r="G13" s="12"/>
    </row>
    <row r="14" spans="1:7" ht="12.75" x14ac:dyDescent="0.2">
      <c r="A14" s="31"/>
      <c r="B14" s="31"/>
      <c r="C14" s="21">
        <f t="shared" ca="1" si="0"/>
        <v>43457.48244965278</v>
      </c>
      <c r="D14" s="21">
        <f t="shared" ca="1" si="1"/>
        <v>43457.48244965278</v>
      </c>
      <c r="E14" s="12"/>
      <c r="F14" s="12"/>
      <c r="G14" s="12"/>
    </row>
    <row r="15" spans="1:7" ht="12.75" x14ac:dyDescent="0.2">
      <c r="A15" s="31"/>
      <c r="B15" s="31"/>
      <c r="C15" s="21">
        <f t="shared" ca="1" si="0"/>
        <v>43457.48244965278</v>
      </c>
      <c r="D15" s="21">
        <f t="shared" ca="1" si="1"/>
        <v>43457.48244965278</v>
      </c>
      <c r="E15" s="12"/>
      <c r="F15" s="12"/>
      <c r="G15" s="12"/>
    </row>
    <row r="16" spans="1:7" ht="12.75" x14ac:dyDescent="0.2">
      <c r="A16" s="31"/>
      <c r="B16" s="31"/>
      <c r="C16" s="21">
        <f t="shared" ca="1" si="0"/>
        <v>43457.48244965278</v>
      </c>
      <c r="D16" s="21">
        <f t="shared" ca="1" si="1"/>
        <v>43457.48244965278</v>
      </c>
      <c r="E16" s="12"/>
      <c r="F16" s="12"/>
      <c r="G16" s="12"/>
    </row>
    <row r="17" spans="1:7" ht="12.75" x14ac:dyDescent="0.2">
      <c r="A17" s="31"/>
      <c r="B17" s="31"/>
      <c r="C17" s="21">
        <f t="shared" ca="1" si="0"/>
        <v>43457.48244965278</v>
      </c>
      <c r="D17" s="21">
        <f t="shared" ca="1" si="1"/>
        <v>43457.48244965278</v>
      </c>
      <c r="E17" s="12"/>
      <c r="F17" s="12"/>
      <c r="G17" s="12"/>
    </row>
    <row r="18" spans="1:7" ht="12.75" x14ac:dyDescent="0.2">
      <c r="A18" s="31"/>
      <c r="B18" s="31"/>
      <c r="C18" s="21">
        <f t="shared" ca="1" si="0"/>
        <v>43457.48244965278</v>
      </c>
      <c r="D18" s="21">
        <f t="shared" ca="1" si="1"/>
        <v>43457.48244965278</v>
      </c>
      <c r="E18" s="12"/>
      <c r="F18" s="12"/>
      <c r="G18" s="12"/>
    </row>
    <row r="19" spans="1:7" ht="12.75" x14ac:dyDescent="0.2">
      <c r="A19" s="31"/>
      <c r="B19" s="31"/>
      <c r="C19" s="21">
        <f t="shared" ca="1" si="0"/>
        <v>43457.48244965278</v>
      </c>
      <c r="D19" s="21">
        <f t="shared" ca="1" si="1"/>
        <v>43457.48244965278</v>
      </c>
      <c r="E19" s="12"/>
      <c r="F19" s="12"/>
      <c r="G19" s="12"/>
    </row>
    <row r="20" spans="1:7" ht="12.75" x14ac:dyDescent="0.2">
      <c r="A20" s="31"/>
      <c r="B20" s="31"/>
      <c r="C20" s="21">
        <f t="shared" ca="1" si="0"/>
        <v>43457.48244965278</v>
      </c>
      <c r="D20" s="21">
        <f t="shared" ca="1" si="1"/>
        <v>43457.48244965278</v>
      </c>
      <c r="E20" s="12"/>
      <c r="F20" s="12"/>
      <c r="G20" s="12"/>
    </row>
    <row r="21" spans="1:7" ht="12.75" x14ac:dyDescent="0.2">
      <c r="A21" s="31"/>
      <c r="B21" s="31"/>
      <c r="C21" s="21">
        <f t="shared" ca="1" si="0"/>
        <v>43457.48244965278</v>
      </c>
      <c r="D21" s="21">
        <f t="shared" ca="1" si="1"/>
        <v>43457.48244965278</v>
      </c>
      <c r="E21" s="12"/>
      <c r="F21" s="12"/>
      <c r="G21" s="12"/>
    </row>
    <row r="22" spans="1:7" ht="12.75" x14ac:dyDescent="0.2">
      <c r="A22" s="31"/>
      <c r="B22" s="31"/>
      <c r="C22" s="21">
        <f t="shared" ca="1" si="0"/>
        <v>43457.48244965278</v>
      </c>
      <c r="D22" s="21">
        <f t="shared" ca="1" si="1"/>
        <v>43457.48244965278</v>
      </c>
      <c r="E22" s="12"/>
      <c r="F22" s="12"/>
      <c r="G22" s="12"/>
    </row>
    <row r="23" spans="1:7" ht="12.75" x14ac:dyDescent="0.2">
      <c r="A23" s="31"/>
      <c r="B23" s="31"/>
      <c r="C23" s="21">
        <f t="shared" ca="1" si="0"/>
        <v>43457.48244965278</v>
      </c>
      <c r="D23" s="21">
        <f t="shared" ca="1" si="1"/>
        <v>43457.48244965278</v>
      </c>
      <c r="E23" s="12"/>
      <c r="F23" s="12"/>
      <c r="G23" s="12"/>
    </row>
    <row r="24" spans="1:7" ht="12.75" x14ac:dyDescent="0.2">
      <c r="A24" s="31"/>
      <c r="B24" s="31"/>
      <c r="C24" s="21">
        <f t="shared" ca="1" si="0"/>
        <v>43457.48244965278</v>
      </c>
      <c r="D24" s="21">
        <f t="shared" ca="1" si="1"/>
        <v>43457.48244965278</v>
      </c>
      <c r="E24" s="12"/>
      <c r="F24" s="12"/>
      <c r="G24" s="12"/>
    </row>
    <row r="25" spans="1:7" ht="12.75" x14ac:dyDescent="0.2">
      <c r="A25" s="31"/>
      <c r="B25" s="31"/>
      <c r="C25" s="21">
        <f t="shared" ca="1" si="0"/>
        <v>43457.48244965278</v>
      </c>
      <c r="D25" s="21">
        <f t="shared" ca="1" si="1"/>
        <v>43457.48244965278</v>
      </c>
      <c r="E25" s="12"/>
      <c r="F25" s="12"/>
      <c r="G25" s="12"/>
    </row>
    <row r="26" spans="1:7" ht="12.75" x14ac:dyDescent="0.2">
      <c r="A26" s="31"/>
      <c r="B26" s="31"/>
      <c r="C26" s="21">
        <f t="shared" ca="1" si="0"/>
        <v>43457.48244965278</v>
      </c>
      <c r="D26" s="21">
        <f t="shared" ca="1" si="1"/>
        <v>43457.48244965278</v>
      </c>
      <c r="E26" s="12"/>
      <c r="F26" s="12"/>
      <c r="G26" s="12"/>
    </row>
    <row r="27" spans="1:7" ht="12.75" x14ac:dyDescent="0.2">
      <c r="A27" s="31"/>
      <c r="B27" s="31"/>
      <c r="C27" s="21">
        <f t="shared" ca="1" si="0"/>
        <v>43457.48244965278</v>
      </c>
      <c r="D27" s="21">
        <f t="shared" ca="1" si="1"/>
        <v>43457.48244965278</v>
      </c>
      <c r="E27" s="12"/>
      <c r="F27" s="12"/>
      <c r="G27" s="12"/>
    </row>
    <row r="28" spans="1:7" ht="12.75" x14ac:dyDescent="0.2">
      <c r="A28" s="31"/>
      <c r="B28" s="31"/>
      <c r="C28" s="21">
        <f t="shared" ca="1" si="0"/>
        <v>43457.48244965278</v>
      </c>
      <c r="D28" s="21">
        <f t="shared" ca="1" si="1"/>
        <v>43457.48244965278</v>
      </c>
      <c r="E28" s="12"/>
      <c r="F28" s="12"/>
      <c r="G28" s="12"/>
    </row>
    <row r="29" spans="1:7" ht="12.75" x14ac:dyDescent="0.2">
      <c r="A29" s="31"/>
      <c r="B29" s="31"/>
      <c r="C29" s="21">
        <f t="shared" ca="1" si="0"/>
        <v>43457.48244965278</v>
      </c>
      <c r="D29" s="21">
        <f t="shared" ca="1" si="1"/>
        <v>43457.48244965278</v>
      </c>
      <c r="E29" s="12"/>
      <c r="F29" s="12"/>
      <c r="G29" s="12"/>
    </row>
    <row r="30" spans="1:7" ht="12.75" x14ac:dyDescent="0.2">
      <c r="A30" s="31"/>
      <c r="B30" s="31"/>
      <c r="C30" s="21">
        <f t="shared" ca="1" si="0"/>
        <v>43457.48244965278</v>
      </c>
      <c r="D30" s="21">
        <f t="shared" ca="1" si="1"/>
        <v>43457.48244965278</v>
      </c>
      <c r="E30" s="12"/>
      <c r="F30" s="12"/>
      <c r="G30" s="12"/>
    </row>
    <row r="31" spans="1:7" ht="12.75" x14ac:dyDescent="0.2">
      <c r="A31" s="31"/>
      <c r="B31" s="31"/>
      <c r="C31" s="21">
        <f t="shared" ca="1" si="0"/>
        <v>43457.48244965278</v>
      </c>
      <c r="D31" s="21">
        <f t="shared" ca="1" si="1"/>
        <v>43457.48244965278</v>
      </c>
      <c r="E31" s="12"/>
      <c r="F31" s="12"/>
      <c r="G31" s="12"/>
    </row>
    <row r="32" spans="1:7" ht="12.75" x14ac:dyDescent="0.2">
      <c r="A32" s="31"/>
      <c r="B32" s="31"/>
      <c r="C32" s="21">
        <f t="shared" ca="1" si="0"/>
        <v>43457.48244965278</v>
      </c>
      <c r="D32" s="21">
        <f t="shared" ca="1" si="1"/>
        <v>43457.48244965278</v>
      </c>
      <c r="E32" s="12"/>
      <c r="F32" s="12"/>
      <c r="G32" s="12"/>
    </row>
    <row r="33" spans="1:7" ht="12.75" x14ac:dyDescent="0.2">
      <c r="A33" s="31"/>
      <c r="B33" s="31"/>
      <c r="C33" s="21">
        <f t="shared" ca="1" si="0"/>
        <v>43457.48244965278</v>
      </c>
      <c r="D33" s="21">
        <f t="shared" ca="1" si="1"/>
        <v>43457.48244965278</v>
      </c>
      <c r="E33" s="12"/>
      <c r="F33" s="12"/>
      <c r="G33" s="12"/>
    </row>
    <row r="34" spans="1:7" ht="12.75" x14ac:dyDescent="0.2">
      <c r="A34" s="31"/>
      <c r="B34" s="31"/>
      <c r="C34" s="21">
        <f t="shared" ca="1" si="0"/>
        <v>43457.48244965278</v>
      </c>
      <c r="D34" s="21">
        <f t="shared" ca="1" si="1"/>
        <v>43457.48244965278</v>
      </c>
      <c r="E34" s="12"/>
      <c r="F34" s="12"/>
      <c r="G34" s="12"/>
    </row>
    <row r="35" spans="1:7" ht="12.75" x14ac:dyDescent="0.2">
      <c r="A35" s="31"/>
      <c r="B35" s="31"/>
      <c r="C35" s="21">
        <f t="shared" ca="1" si="0"/>
        <v>43457.48244965278</v>
      </c>
      <c r="D35" s="21">
        <f t="shared" ca="1" si="1"/>
        <v>43457.48244965278</v>
      </c>
      <c r="E35" s="12"/>
      <c r="F35" s="12"/>
      <c r="G35" s="12"/>
    </row>
    <row r="36" spans="1:7" ht="12.75" x14ac:dyDescent="0.2">
      <c r="A36" s="31"/>
      <c r="B36" s="31"/>
      <c r="C36" s="21">
        <f t="shared" ca="1" si="0"/>
        <v>43457.48244965278</v>
      </c>
      <c r="D36" s="21">
        <f t="shared" ca="1" si="1"/>
        <v>43457.48244965278</v>
      </c>
      <c r="E36" s="12"/>
      <c r="F36" s="12"/>
      <c r="G36" s="12"/>
    </row>
    <row r="37" spans="1:7" ht="12.75" x14ac:dyDescent="0.2">
      <c r="A37" s="31"/>
      <c r="B37" s="31"/>
      <c r="C37" s="21">
        <f t="shared" ca="1" si="0"/>
        <v>43457.48244965278</v>
      </c>
      <c r="D37" s="21">
        <f t="shared" ca="1" si="1"/>
        <v>43457.48244965278</v>
      </c>
      <c r="E37" s="12"/>
      <c r="F37" s="12"/>
      <c r="G37" s="12"/>
    </row>
    <row r="38" spans="1:7" ht="12.75" x14ac:dyDescent="0.2">
      <c r="A38" s="31"/>
      <c r="B38" s="31"/>
      <c r="C38" s="21">
        <f t="shared" ca="1" si="0"/>
        <v>43457.48244965278</v>
      </c>
      <c r="D38" s="21">
        <f t="shared" ca="1" si="1"/>
        <v>43457.48244965278</v>
      </c>
      <c r="E38" s="12"/>
      <c r="F38" s="12"/>
      <c r="G38" s="12"/>
    </row>
    <row r="39" spans="1:7" ht="12.75" x14ac:dyDescent="0.2">
      <c r="A39" s="31"/>
      <c r="B39" s="31"/>
      <c r="C39" s="21">
        <f t="shared" ca="1" si="0"/>
        <v>43457.48244965278</v>
      </c>
      <c r="D39" s="21">
        <f t="shared" ca="1" si="1"/>
        <v>43457.48244965278</v>
      </c>
      <c r="E39" s="12"/>
      <c r="F39" s="12"/>
      <c r="G39" s="12"/>
    </row>
    <row r="40" spans="1:7" ht="12.75" x14ac:dyDescent="0.2">
      <c r="A40" s="31"/>
      <c r="B40" s="31"/>
      <c r="C40" s="21">
        <f t="shared" ca="1" si="0"/>
        <v>43457.48244965278</v>
      </c>
      <c r="D40" s="21">
        <f t="shared" ca="1" si="1"/>
        <v>43457.48244965278</v>
      </c>
      <c r="E40" s="12"/>
      <c r="F40" s="12"/>
      <c r="G40" s="12"/>
    </row>
    <row r="41" spans="1:7" ht="12.75" x14ac:dyDescent="0.2">
      <c r="A41" s="31"/>
      <c r="B41" s="31"/>
      <c r="C41" s="21">
        <f t="shared" ca="1" si="0"/>
        <v>43457.48244965278</v>
      </c>
      <c r="D41" s="21">
        <f t="shared" ca="1" si="1"/>
        <v>43457.48244965278</v>
      </c>
      <c r="E41" s="12"/>
      <c r="F41" s="12"/>
      <c r="G41" s="12"/>
    </row>
    <row r="42" spans="1:7" ht="12.75" x14ac:dyDescent="0.2">
      <c r="A42" s="31"/>
      <c r="B42" s="31"/>
      <c r="C42" s="21">
        <f t="shared" ca="1" si="0"/>
        <v>43457.48244965278</v>
      </c>
      <c r="D42" s="21">
        <f t="shared" ca="1" si="1"/>
        <v>43457.48244965278</v>
      </c>
      <c r="E42" s="12"/>
      <c r="F42" s="12"/>
      <c r="G42" s="12"/>
    </row>
    <row r="43" spans="1:7" ht="12.75" x14ac:dyDescent="0.2">
      <c r="A43" s="31"/>
      <c r="B43" s="31"/>
      <c r="C43" s="21">
        <f t="shared" ca="1" si="0"/>
        <v>43457.48244965278</v>
      </c>
      <c r="D43" s="21">
        <f t="shared" ca="1" si="1"/>
        <v>43457.48244965278</v>
      </c>
      <c r="E43" s="12"/>
      <c r="F43" s="12"/>
      <c r="G43" s="12"/>
    </row>
    <row r="44" spans="1:7" ht="12.75" x14ac:dyDescent="0.2">
      <c r="A44" s="31"/>
      <c r="B44" s="31"/>
      <c r="C44" s="21">
        <f t="shared" ca="1" si="0"/>
        <v>43457.48244965278</v>
      </c>
      <c r="D44" s="21">
        <f t="shared" ca="1" si="1"/>
        <v>43457.48244965278</v>
      </c>
      <c r="E44" s="12"/>
      <c r="F44" s="12"/>
      <c r="G44" s="12"/>
    </row>
    <row r="45" spans="1:7" ht="12.75" x14ac:dyDescent="0.2">
      <c r="A45" s="31"/>
      <c r="B45" s="31"/>
      <c r="C45" s="21">
        <f t="shared" ca="1" si="0"/>
        <v>43457.48244965278</v>
      </c>
      <c r="D45" s="21">
        <f t="shared" ca="1" si="1"/>
        <v>43457.48244965278</v>
      </c>
      <c r="E45" s="12"/>
      <c r="F45" s="12"/>
      <c r="G45" s="12"/>
    </row>
    <row r="46" spans="1:7" ht="12.75" x14ac:dyDescent="0.2">
      <c r="A46" s="31"/>
      <c r="B46" s="31"/>
      <c r="C46" s="21">
        <f t="shared" ca="1" si="0"/>
        <v>43457.48244965278</v>
      </c>
      <c r="D46" s="21">
        <f t="shared" ca="1" si="1"/>
        <v>43457.48244965278</v>
      </c>
      <c r="E46" s="12"/>
      <c r="F46" s="12"/>
      <c r="G46" s="12"/>
    </row>
    <row r="47" spans="1:7" ht="12.75" x14ac:dyDescent="0.2">
      <c r="A47" s="31"/>
      <c r="B47" s="31"/>
      <c r="C47" s="21">
        <f t="shared" ca="1" si="0"/>
        <v>43457.48244965278</v>
      </c>
      <c r="D47" s="21">
        <f t="shared" ca="1" si="1"/>
        <v>43457.48244965278</v>
      </c>
      <c r="E47" s="12"/>
      <c r="F47" s="12"/>
      <c r="G47" s="12"/>
    </row>
    <row r="48" spans="1:7" ht="12.75" x14ac:dyDescent="0.2">
      <c r="A48" s="31"/>
      <c r="B48" s="31"/>
      <c r="C48" s="21">
        <f t="shared" ca="1" si="0"/>
        <v>43457.48244965278</v>
      </c>
      <c r="D48" s="21">
        <f t="shared" ca="1" si="1"/>
        <v>43457.48244965278</v>
      </c>
      <c r="E48" s="12"/>
      <c r="F48" s="12"/>
      <c r="G48" s="12"/>
    </row>
    <row r="49" spans="1:7" ht="12.75" x14ac:dyDescent="0.2">
      <c r="A49" s="31"/>
      <c r="B49" s="31"/>
      <c r="C49" s="21">
        <f t="shared" ca="1" si="0"/>
        <v>43457.48244965278</v>
      </c>
      <c r="D49" s="21">
        <f t="shared" ca="1" si="1"/>
        <v>43457.48244965278</v>
      </c>
      <c r="E49" s="12"/>
      <c r="F49" s="12"/>
      <c r="G49" s="12"/>
    </row>
    <row r="50" spans="1:7" ht="12.75" x14ac:dyDescent="0.2">
      <c r="A50" s="31"/>
      <c r="B50" s="31"/>
      <c r="C50" s="21">
        <f t="shared" ca="1" si="0"/>
        <v>43457.48244965278</v>
      </c>
      <c r="D50" s="21">
        <f t="shared" ca="1" si="1"/>
        <v>43457.48244965278</v>
      </c>
      <c r="E50" s="12"/>
      <c r="F50" s="12"/>
      <c r="G50" s="12"/>
    </row>
    <row r="51" spans="1:7" ht="12.75" x14ac:dyDescent="0.2">
      <c r="A51" s="32"/>
      <c r="B51" s="32"/>
      <c r="C51" s="22">
        <f t="shared" ca="1" si="0"/>
        <v>43457.48244965278</v>
      </c>
      <c r="D51" s="22">
        <f t="shared" ca="1" si="1"/>
        <v>43457.48244965278</v>
      </c>
      <c r="E51" s="23"/>
      <c r="F51" s="23"/>
      <c r="G51" s="23"/>
    </row>
    <row r="52" spans="1:7" ht="12.75" x14ac:dyDescent="0.2">
      <c r="A52" s="31"/>
      <c r="B52" s="31"/>
      <c r="C52" s="21">
        <f t="shared" ca="1" si="0"/>
        <v>43457.48244965278</v>
      </c>
      <c r="D52" s="21">
        <f t="shared" ca="1" si="1"/>
        <v>43457.48244965278</v>
      </c>
      <c r="E52" s="12"/>
      <c r="F52" s="12"/>
      <c r="G52" s="12"/>
    </row>
    <row r="53" spans="1:7" ht="12.75" x14ac:dyDescent="0.2">
      <c r="A53" s="31"/>
      <c r="B53" s="31"/>
      <c r="C53" s="21">
        <f t="shared" ca="1" si="0"/>
        <v>43457.48244965278</v>
      </c>
      <c r="D53" s="21">
        <f t="shared" ca="1" si="1"/>
        <v>43457.48244965278</v>
      </c>
      <c r="E53" s="12"/>
      <c r="F53" s="12"/>
      <c r="G53" s="12"/>
    </row>
    <row r="54" spans="1:7" ht="12.75" x14ac:dyDescent="0.2">
      <c r="A54" s="31"/>
      <c r="B54" s="31"/>
      <c r="C54" s="21">
        <f t="shared" ca="1" si="0"/>
        <v>43457.48244965278</v>
      </c>
      <c r="D54" s="21">
        <f t="shared" ca="1" si="1"/>
        <v>43457.48244965278</v>
      </c>
      <c r="E54" s="12"/>
      <c r="F54" s="12"/>
      <c r="G54" s="12"/>
    </row>
    <row r="55" spans="1:7" ht="12.75" x14ac:dyDescent="0.2">
      <c r="A55" s="31"/>
      <c r="B55" s="31"/>
      <c r="C55" s="21">
        <f t="shared" ca="1" si="0"/>
        <v>43457.48244965278</v>
      </c>
      <c r="D55" s="21">
        <f t="shared" ca="1" si="1"/>
        <v>43457.48244965278</v>
      </c>
      <c r="E55" s="12"/>
      <c r="F55" s="12"/>
      <c r="G55" s="12"/>
    </row>
    <row r="56" spans="1:7" ht="12.75" x14ac:dyDescent="0.2">
      <c r="A56" s="31"/>
      <c r="B56" s="31"/>
      <c r="C56" s="21">
        <f t="shared" ca="1" si="0"/>
        <v>43457.48244965278</v>
      </c>
      <c r="D56" s="21">
        <f t="shared" ca="1" si="1"/>
        <v>43457.48244965278</v>
      </c>
      <c r="E56" s="12"/>
      <c r="F56" s="12"/>
      <c r="G56" s="12"/>
    </row>
    <row r="57" spans="1:7" ht="12.75" x14ac:dyDescent="0.2">
      <c r="A57" s="31"/>
      <c r="B57" s="31"/>
      <c r="C57" s="21">
        <f t="shared" ca="1" si="0"/>
        <v>43457.48244965278</v>
      </c>
      <c r="D57" s="21">
        <f t="shared" ca="1" si="1"/>
        <v>43457.48244965278</v>
      </c>
      <c r="E57" s="12"/>
      <c r="F57" s="12"/>
      <c r="G57" s="12"/>
    </row>
    <row r="58" spans="1:7" ht="12.75" x14ac:dyDescent="0.2">
      <c r="A58" s="31"/>
      <c r="B58" s="31"/>
      <c r="C58" s="21">
        <f t="shared" ca="1" si="0"/>
        <v>43457.48244965278</v>
      </c>
      <c r="D58" s="21">
        <f t="shared" ca="1" si="1"/>
        <v>43457.48244965278</v>
      </c>
      <c r="E58" s="12"/>
      <c r="F58" s="12"/>
      <c r="G58" s="12"/>
    </row>
    <row r="59" spans="1:7" ht="12.75" x14ac:dyDescent="0.2">
      <c r="A59" s="31"/>
      <c r="B59" s="31"/>
      <c r="C59" s="21">
        <f t="shared" ca="1" si="0"/>
        <v>43457.48244965278</v>
      </c>
      <c r="D59" s="21">
        <f t="shared" ca="1" si="1"/>
        <v>43457.48244965278</v>
      </c>
      <c r="E59" s="12"/>
      <c r="F59" s="12"/>
      <c r="G59" s="12"/>
    </row>
    <row r="60" spans="1:7" ht="13.5" thickBot="1" x14ac:dyDescent="0.25">
      <c r="A60" s="33"/>
      <c r="B60" s="33"/>
      <c r="C60" s="24">
        <f t="shared" ca="1" si="0"/>
        <v>43457.48244965278</v>
      </c>
      <c r="D60" s="24">
        <f t="shared" ca="1" si="1"/>
        <v>43457.48244965278</v>
      </c>
      <c r="E60" s="25"/>
      <c r="F60" s="25"/>
      <c r="G60" s="25"/>
    </row>
    <row r="61" spans="1:7" ht="12.75" hidden="1" customHeight="1" x14ac:dyDescent="0.2"/>
    <row r="62" spans="1:7" ht="12.75" hidden="1" customHeight="1" x14ac:dyDescent="0.2">
      <c r="A62" s="2">
        <f ca="1">VALUE(MID(CELL("filename",A1),LEN(CELL("filename",A1))-1,2))</f>
        <v>53</v>
      </c>
    </row>
  </sheetData>
  <sheetProtection sheet="1" objects="1" scenarios="1" selectLockedCells="1"/>
  <mergeCells count="2">
    <mergeCell ref="E1:G2"/>
    <mergeCell ref="A3:G3"/>
  </mergeCells>
  <dataValidations count="6">
    <dataValidation type="list" allowBlank="1" showInputMessage="1" showErrorMessage="1" sqref="F5:F60" xr:uid="{BD802FE4-B304-4282-87CB-4E60A96ED362}">
      <formula1>SpentTimeTypes</formula1>
    </dataValidation>
    <dataValidation type="custom" sqref="D5:D60" xr:uid="{1E4496C2-0BF7-4794-8366-6BDE018E7485}">
      <formula1>IF(AND(OR(YEAR($C5)=Year,WeekNumber=1,WeekNumber&gt;=52),WEEKNUM($D5,21)=WeekNumber),IF(COUNTBLANK($A5:$B5)=2,AND(NOT(ISBLANK($C5)),_xlfn.ISFORMULA($C5)=_xlfn.ISFORMULA($D5)),_xlfn.ISFORMULA($D5)),COUNTBLANK($A5:$D5)=4)</formula1>
    </dataValidation>
    <dataValidation type="decimal" sqref="A5:A60" xr:uid="{4731BA40-D425-4DD3-8625-49544482CD1D}">
      <formula1>0</formula1>
      <formula2>1</formula2>
    </dataValidation>
    <dataValidation type="custom" sqref="B5:B60" xr:uid="{AB017F92-7520-4008-B55A-44CE65F648AA}">
      <formula1>AND(OR(ISBLANK($A5),ISBLANK($B5)),$B5&gt;=0,$B5&lt;=1)</formula1>
    </dataValidation>
    <dataValidation type="custom" sqref="C5:C60" xr:uid="{A44A6197-D447-4558-8E6D-5452FE824A7F}">
      <formula1>IF(AND(OR(YEAR($C5)=Year,WeekNumber=1,WeekNumber&gt;=52),WEEKNUM($C5,21)=WeekNumber),OR(COUNTBLANK($A5:$B5)=2,NOT(_xlfn.ISFORMULA($C5))),COUNTBLANK($A5:$C5)=3)</formula1>
    </dataValidation>
    <dataValidation type="custom" sqref="E5:E60" xr:uid="{B98D4FAD-F02D-4734-B1A4-7770CD3B6B0E}">
      <formula1>OR(ISBLANK($D5),_xlfn.ISFORMULA($D5))=ISBLANK($E5)</formula1>
    </dataValidation>
  </dataValidations>
  <printOptions gridLines="1"/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273</vt:i4>
      </vt:variant>
    </vt:vector>
  </HeadingPairs>
  <TitlesOfParts>
    <vt:vector size="327" baseType="lpstr">
      <vt:lpstr>Summary</vt:lpstr>
      <vt:lpstr>Week01</vt:lpstr>
      <vt:lpstr>Week02</vt:lpstr>
      <vt:lpstr>Week03</vt:lpstr>
      <vt:lpstr>Week04</vt:lpstr>
      <vt:lpstr>Week05</vt:lpstr>
      <vt:lpstr>Week06</vt:lpstr>
      <vt:lpstr>Week07</vt:lpstr>
      <vt:lpstr>Week08</vt:lpstr>
      <vt:lpstr>Week09</vt:lpstr>
      <vt:lpstr>Week10</vt:lpstr>
      <vt:lpstr>Week11</vt:lpstr>
      <vt:lpstr>Week12</vt:lpstr>
      <vt:lpstr>Week13</vt:lpstr>
      <vt:lpstr>Week14</vt:lpstr>
      <vt:lpstr>Week15</vt:lpstr>
      <vt:lpstr>Week16</vt:lpstr>
      <vt:lpstr>Week17</vt:lpstr>
      <vt:lpstr>Week18</vt:lpstr>
      <vt:lpstr>Week19</vt:lpstr>
      <vt:lpstr>Week20</vt:lpstr>
      <vt:lpstr>Week21</vt:lpstr>
      <vt:lpstr>Week22</vt:lpstr>
      <vt:lpstr>Week23</vt:lpstr>
      <vt:lpstr>Week24</vt:lpstr>
      <vt:lpstr>Week25</vt:lpstr>
      <vt:lpstr>Week26</vt:lpstr>
      <vt:lpstr>Week27</vt:lpstr>
      <vt:lpstr>Week28</vt:lpstr>
      <vt:lpstr>Week29</vt:lpstr>
      <vt:lpstr>Week30</vt:lpstr>
      <vt:lpstr>Week31</vt:lpstr>
      <vt:lpstr>Week32</vt:lpstr>
      <vt:lpstr>Week33</vt:lpstr>
      <vt:lpstr>Week34</vt:lpstr>
      <vt:lpstr>Week35</vt:lpstr>
      <vt:lpstr>Week36</vt:lpstr>
      <vt:lpstr>Week37</vt:lpstr>
      <vt:lpstr>Week38</vt:lpstr>
      <vt:lpstr>Week39</vt:lpstr>
      <vt:lpstr>Week40</vt:lpstr>
      <vt:lpstr>Week41</vt:lpstr>
      <vt:lpstr>Week42</vt:lpstr>
      <vt:lpstr>Week43</vt:lpstr>
      <vt:lpstr>Week44</vt:lpstr>
      <vt:lpstr>Week45</vt:lpstr>
      <vt:lpstr>Week46</vt:lpstr>
      <vt:lpstr>Week47</vt:lpstr>
      <vt:lpstr>Week48</vt:lpstr>
      <vt:lpstr>Week49</vt:lpstr>
      <vt:lpstr>Week50</vt:lpstr>
      <vt:lpstr>Week51</vt:lpstr>
      <vt:lpstr>Week52</vt:lpstr>
      <vt:lpstr>Week53</vt:lpstr>
      <vt:lpstr>Summary!ActualHolidays</vt:lpstr>
      <vt:lpstr>Week01!ActualHolidays</vt:lpstr>
      <vt:lpstr>Week02!ActualHolidays</vt:lpstr>
      <vt:lpstr>Week03!ActualHolidays</vt:lpstr>
      <vt:lpstr>Week04!ActualHolidays</vt:lpstr>
      <vt:lpstr>Week05!ActualHolidays</vt:lpstr>
      <vt:lpstr>Week06!ActualHolidays</vt:lpstr>
      <vt:lpstr>Week07!ActualHolidays</vt:lpstr>
      <vt:lpstr>Week08!ActualHolidays</vt:lpstr>
      <vt:lpstr>Week09!ActualHolidays</vt:lpstr>
      <vt:lpstr>Week10!ActualHolidays</vt:lpstr>
      <vt:lpstr>Week11!ActualHolidays</vt:lpstr>
      <vt:lpstr>Week12!ActualHolidays</vt:lpstr>
      <vt:lpstr>Week13!ActualHolidays</vt:lpstr>
      <vt:lpstr>Week14!ActualHolidays</vt:lpstr>
      <vt:lpstr>Week15!ActualHolidays</vt:lpstr>
      <vt:lpstr>Week16!ActualHolidays</vt:lpstr>
      <vt:lpstr>Week17!ActualHolidays</vt:lpstr>
      <vt:lpstr>Week18!ActualHolidays</vt:lpstr>
      <vt:lpstr>Week19!ActualHolidays</vt:lpstr>
      <vt:lpstr>Week20!ActualHolidays</vt:lpstr>
      <vt:lpstr>Week21!ActualHolidays</vt:lpstr>
      <vt:lpstr>Week22!ActualHolidays</vt:lpstr>
      <vt:lpstr>Week23!ActualHolidays</vt:lpstr>
      <vt:lpstr>Week24!ActualHolidays</vt:lpstr>
      <vt:lpstr>Week25!ActualHolidays</vt:lpstr>
      <vt:lpstr>Week26!ActualHolidays</vt:lpstr>
      <vt:lpstr>Week27!ActualHolidays</vt:lpstr>
      <vt:lpstr>Week28!ActualHolidays</vt:lpstr>
      <vt:lpstr>Week29!ActualHolidays</vt:lpstr>
      <vt:lpstr>Week30!ActualHolidays</vt:lpstr>
      <vt:lpstr>Week31!ActualHolidays</vt:lpstr>
      <vt:lpstr>Week32!ActualHolidays</vt:lpstr>
      <vt:lpstr>Week33!ActualHolidays</vt:lpstr>
      <vt:lpstr>Week34!ActualHolidays</vt:lpstr>
      <vt:lpstr>Week35!ActualHolidays</vt:lpstr>
      <vt:lpstr>Week36!ActualHolidays</vt:lpstr>
      <vt:lpstr>Week37!ActualHolidays</vt:lpstr>
      <vt:lpstr>Week38!ActualHolidays</vt:lpstr>
      <vt:lpstr>Week39!ActualHolidays</vt:lpstr>
      <vt:lpstr>Week40!ActualHolidays</vt:lpstr>
      <vt:lpstr>Week41!ActualHolidays</vt:lpstr>
      <vt:lpstr>Week42!ActualHolidays</vt:lpstr>
      <vt:lpstr>Week43!ActualHolidays</vt:lpstr>
      <vt:lpstr>Week44!ActualHolidays</vt:lpstr>
      <vt:lpstr>Week45!ActualHolidays</vt:lpstr>
      <vt:lpstr>Week46!ActualHolidays</vt:lpstr>
      <vt:lpstr>Week47!ActualHolidays</vt:lpstr>
      <vt:lpstr>Week48!ActualHolidays</vt:lpstr>
      <vt:lpstr>Week49!ActualHolidays</vt:lpstr>
      <vt:lpstr>Week50!ActualHolidays</vt:lpstr>
      <vt:lpstr>Week51!ActualHolidays</vt:lpstr>
      <vt:lpstr>Week52!ActualHolidays</vt:lpstr>
      <vt:lpstr>Week53!ActualHolidays</vt:lpstr>
      <vt:lpstr>Week01!ActualHours</vt:lpstr>
      <vt:lpstr>Week02!ActualHours</vt:lpstr>
      <vt:lpstr>Week03!ActualHours</vt:lpstr>
      <vt:lpstr>Week04!ActualHours</vt:lpstr>
      <vt:lpstr>Week05!ActualHours</vt:lpstr>
      <vt:lpstr>Week06!ActualHours</vt:lpstr>
      <vt:lpstr>Week07!ActualHours</vt:lpstr>
      <vt:lpstr>Week08!ActualHours</vt:lpstr>
      <vt:lpstr>Week09!ActualHours</vt:lpstr>
      <vt:lpstr>Week10!ActualHours</vt:lpstr>
      <vt:lpstr>Week11!ActualHours</vt:lpstr>
      <vt:lpstr>Week12!ActualHours</vt:lpstr>
      <vt:lpstr>Week13!ActualHours</vt:lpstr>
      <vt:lpstr>Week14!ActualHours</vt:lpstr>
      <vt:lpstr>Week15!ActualHours</vt:lpstr>
      <vt:lpstr>Week16!ActualHours</vt:lpstr>
      <vt:lpstr>Week17!ActualHours</vt:lpstr>
      <vt:lpstr>Week18!ActualHours</vt:lpstr>
      <vt:lpstr>Week19!ActualHours</vt:lpstr>
      <vt:lpstr>Week20!ActualHours</vt:lpstr>
      <vt:lpstr>Week21!ActualHours</vt:lpstr>
      <vt:lpstr>Week22!ActualHours</vt:lpstr>
      <vt:lpstr>Week23!ActualHours</vt:lpstr>
      <vt:lpstr>Week24!ActualHours</vt:lpstr>
      <vt:lpstr>Week25!ActualHours</vt:lpstr>
      <vt:lpstr>Week26!ActualHours</vt:lpstr>
      <vt:lpstr>Week27!ActualHours</vt:lpstr>
      <vt:lpstr>Week28!ActualHours</vt:lpstr>
      <vt:lpstr>Week29!ActualHours</vt:lpstr>
      <vt:lpstr>Week30!ActualHours</vt:lpstr>
      <vt:lpstr>Week31!ActualHours</vt:lpstr>
      <vt:lpstr>Week32!ActualHours</vt:lpstr>
      <vt:lpstr>Week33!ActualHours</vt:lpstr>
      <vt:lpstr>Week34!ActualHours</vt:lpstr>
      <vt:lpstr>Week35!ActualHours</vt:lpstr>
      <vt:lpstr>Week36!ActualHours</vt:lpstr>
      <vt:lpstr>Week37!ActualHours</vt:lpstr>
      <vt:lpstr>Week38!ActualHours</vt:lpstr>
      <vt:lpstr>Week39!ActualHours</vt:lpstr>
      <vt:lpstr>Week40!ActualHours</vt:lpstr>
      <vt:lpstr>Week41!ActualHours</vt:lpstr>
      <vt:lpstr>Week42!ActualHours</vt:lpstr>
      <vt:lpstr>Week43!ActualHours</vt:lpstr>
      <vt:lpstr>Week44!ActualHours</vt:lpstr>
      <vt:lpstr>Week45!ActualHours</vt:lpstr>
      <vt:lpstr>Week46!ActualHours</vt:lpstr>
      <vt:lpstr>Week47!ActualHours</vt:lpstr>
      <vt:lpstr>Week48!ActualHours</vt:lpstr>
      <vt:lpstr>Week49!ActualHours</vt:lpstr>
      <vt:lpstr>Week50!ActualHours</vt:lpstr>
      <vt:lpstr>Week51!ActualHours</vt:lpstr>
      <vt:lpstr>Week52!ActualHours</vt:lpstr>
      <vt:lpstr>Week53!ActualHours</vt:lpstr>
      <vt:lpstr>AllocatedDailyWorkingFraction</vt:lpstr>
      <vt:lpstr>Week01!AllocatedHours</vt:lpstr>
      <vt:lpstr>Week02!AllocatedHours</vt:lpstr>
      <vt:lpstr>Week03!AllocatedHours</vt:lpstr>
      <vt:lpstr>Week04!AllocatedHours</vt:lpstr>
      <vt:lpstr>Week05!AllocatedHours</vt:lpstr>
      <vt:lpstr>Week06!AllocatedHours</vt:lpstr>
      <vt:lpstr>Week07!AllocatedHours</vt:lpstr>
      <vt:lpstr>Week08!AllocatedHours</vt:lpstr>
      <vt:lpstr>Week09!AllocatedHours</vt:lpstr>
      <vt:lpstr>Week10!AllocatedHours</vt:lpstr>
      <vt:lpstr>Week11!AllocatedHours</vt:lpstr>
      <vt:lpstr>Week12!AllocatedHours</vt:lpstr>
      <vt:lpstr>Week13!AllocatedHours</vt:lpstr>
      <vt:lpstr>Week14!AllocatedHours</vt:lpstr>
      <vt:lpstr>Week15!AllocatedHours</vt:lpstr>
      <vt:lpstr>Week16!AllocatedHours</vt:lpstr>
      <vt:lpstr>Week17!AllocatedHours</vt:lpstr>
      <vt:lpstr>Week18!AllocatedHours</vt:lpstr>
      <vt:lpstr>Week19!AllocatedHours</vt:lpstr>
      <vt:lpstr>Week20!AllocatedHours</vt:lpstr>
      <vt:lpstr>Week21!AllocatedHours</vt:lpstr>
      <vt:lpstr>Week22!AllocatedHours</vt:lpstr>
      <vt:lpstr>Week23!AllocatedHours</vt:lpstr>
      <vt:lpstr>Week24!AllocatedHours</vt:lpstr>
      <vt:lpstr>Week25!AllocatedHours</vt:lpstr>
      <vt:lpstr>Week26!AllocatedHours</vt:lpstr>
      <vt:lpstr>Week27!AllocatedHours</vt:lpstr>
      <vt:lpstr>Week28!AllocatedHours</vt:lpstr>
      <vt:lpstr>Week29!AllocatedHours</vt:lpstr>
      <vt:lpstr>Week30!AllocatedHours</vt:lpstr>
      <vt:lpstr>Week31!AllocatedHours</vt:lpstr>
      <vt:lpstr>Week32!AllocatedHours</vt:lpstr>
      <vt:lpstr>Week33!AllocatedHours</vt:lpstr>
      <vt:lpstr>Week34!AllocatedHours</vt:lpstr>
      <vt:lpstr>Week35!AllocatedHours</vt:lpstr>
      <vt:lpstr>Week36!AllocatedHours</vt:lpstr>
      <vt:lpstr>Week37!AllocatedHours</vt:lpstr>
      <vt:lpstr>Week38!AllocatedHours</vt:lpstr>
      <vt:lpstr>Week39!AllocatedHours</vt:lpstr>
      <vt:lpstr>Week40!AllocatedHours</vt:lpstr>
      <vt:lpstr>Week41!AllocatedHours</vt:lpstr>
      <vt:lpstr>Week42!AllocatedHours</vt:lpstr>
      <vt:lpstr>Week43!AllocatedHours</vt:lpstr>
      <vt:lpstr>Week44!AllocatedHours</vt:lpstr>
      <vt:lpstr>Week45!AllocatedHours</vt:lpstr>
      <vt:lpstr>Week46!AllocatedHours</vt:lpstr>
      <vt:lpstr>Week47!AllocatedHours</vt:lpstr>
      <vt:lpstr>Week48!AllocatedHours</vt:lpstr>
      <vt:lpstr>Week49!AllocatedHours</vt:lpstr>
      <vt:lpstr>Week50!AllocatedHours</vt:lpstr>
      <vt:lpstr>Week51!AllocatedHours</vt:lpstr>
      <vt:lpstr>Week52!AllocatedHours</vt:lpstr>
      <vt:lpstr>Week53!AllocatedHours</vt:lpstr>
      <vt:lpstr>AllocatedWorkingDays</vt:lpstr>
      <vt:lpstr>Summary!NumberOfWeeks</vt:lpstr>
      <vt:lpstr>Week01!OtherPaidAbsences</vt:lpstr>
      <vt:lpstr>Week02!OtherPaidAbsences</vt:lpstr>
      <vt:lpstr>Week03!OtherPaidAbsences</vt:lpstr>
      <vt:lpstr>Week04!OtherPaidAbsences</vt:lpstr>
      <vt:lpstr>Week05!OtherPaidAbsences</vt:lpstr>
      <vt:lpstr>Week06!OtherPaidAbsences</vt:lpstr>
      <vt:lpstr>Week07!OtherPaidAbsences</vt:lpstr>
      <vt:lpstr>Week08!OtherPaidAbsences</vt:lpstr>
      <vt:lpstr>Week09!OtherPaidAbsences</vt:lpstr>
      <vt:lpstr>Week10!OtherPaidAbsences</vt:lpstr>
      <vt:lpstr>Week11!OtherPaidAbsences</vt:lpstr>
      <vt:lpstr>Week12!OtherPaidAbsences</vt:lpstr>
      <vt:lpstr>Week13!OtherPaidAbsences</vt:lpstr>
      <vt:lpstr>Week14!OtherPaidAbsences</vt:lpstr>
      <vt:lpstr>Week15!OtherPaidAbsences</vt:lpstr>
      <vt:lpstr>Week16!OtherPaidAbsences</vt:lpstr>
      <vt:lpstr>Week17!OtherPaidAbsences</vt:lpstr>
      <vt:lpstr>Week18!OtherPaidAbsences</vt:lpstr>
      <vt:lpstr>Week19!OtherPaidAbsences</vt:lpstr>
      <vt:lpstr>Week20!OtherPaidAbsences</vt:lpstr>
      <vt:lpstr>Week21!OtherPaidAbsences</vt:lpstr>
      <vt:lpstr>Week22!OtherPaidAbsences</vt:lpstr>
      <vt:lpstr>Week23!OtherPaidAbsences</vt:lpstr>
      <vt:lpstr>Week24!OtherPaidAbsences</vt:lpstr>
      <vt:lpstr>Week25!OtherPaidAbsences</vt:lpstr>
      <vt:lpstr>Week26!OtherPaidAbsences</vt:lpstr>
      <vt:lpstr>Week27!OtherPaidAbsences</vt:lpstr>
      <vt:lpstr>Week28!OtherPaidAbsences</vt:lpstr>
      <vt:lpstr>Week29!OtherPaidAbsences</vt:lpstr>
      <vt:lpstr>Week30!OtherPaidAbsences</vt:lpstr>
      <vt:lpstr>Week31!OtherPaidAbsences</vt:lpstr>
      <vt:lpstr>Week32!OtherPaidAbsences</vt:lpstr>
      <vt:lpstr>Week33!OtherPaidAbsences</vt:lpstr>
      <vt:lpstr>Week34!OtherPaidAbsences</vt:lpstr>
      <vt:lpstr>Week35!OtherPaidAbsences</vt:lpstr>
      <vt:lpstr>Week36!OtherPaidAbsences</vt:lpstr>
      <vt:lpstr>Week37!OtherPaidAbsences</vt:lpstr>
      <vt:lpstr>Week38!OtherPaidAbsences</vt:lpstr>
      <vt:lpstr>Week39!OtherPaidAbsences</vt:lpstr>
      <vt:lpstr>Week40!OtherPaidAbsences</vt:lpstr>
      <vt:lpstr>Week41!OtherPaidAbsences</vt:lpstr>
      <vt:lpstr>Week42!OtherPaidAbsences</vt:lpstr>
      <vt:lpstr>Week43!OtherPaidAbsences</vt:lpstr>
      <vt:lpstr>Week44!OtherPaidAbsences</vt:lpstr>
      <vt:lpstr>Week45!OtherPaidAbsences</vt:lpstr>
      <vt:lpstr>Week46!OtherPaidAbsences</vt:lpstr>
      <vt:lpstr>Week47!OtherPaidAbsences</vt:lpstr>
      <vt:lpstr>Week48!OtherPaidAbsences</vt:lpstr>
      <vt:lpstr>Week49!OtherPaidAbsences</vt:lpstr>
      <vt:lpstr>Week50!OtherPaidAbsences</vt:lpstr>
      <vt:lpstr>Week51!OtherPaidAbsences</vt:lpstr>
      <vt:lpstr>Week52!OtherPaidAbsences</vt:lpstr>
      <vt:lpstr>Week53!OtherPaidAbsences</vt:lpstr>
      <vt:lpstr>Summary!OvertimeDays</vt:lpstr>
      <vt:lpstr>SpentTimeTypes</vt:lpstr>
      <vt:lpstr>Summary!Week53Row</vt:lpstr>
      <vt:lpstr>Week01!WeekNumber</vt:lpstr>
      <vt:lpstr>Week02!WeekNumber</vt:lpstr>
      <vt:lpstr>Week03!WeekNumber</vt:lpstr>
      <vt:lpstr>Week04!WeekNumber</vt:lpstr>
      <vt:lpstr>Week05!WeekNumber</vt:lpstr>
      <vt:lpstr>Week06!WeekNumber</vt:lpstr>
      <vt:lpstr>Week07!WeekNumber</vt:lpstr>
      <vt:lpstr>Week08!WeekNumber</vt:lpstr>
      <vt:lpstr>Week09!WeekNumber</vt:lpstr>
      <vt:lpstr>Week10!WeekNumber</vt:lpstr>
      <vt:lpstr>Week11!WeekNumber</vt:lpstr>
      <vt:lpstr>Week12!WeekNumber</vt:lpstr>
      <vt:lpstr>Week13!WeekNumber</vt:lpstr>
      <vt:lpstr>Week14!WeekNumber</vt:lpstr>
      <vt:lpstr>Week15!WeekNumber</vt:lpstr>
      <vt:lpstr>Week16!WeekNumber</vt:lpstr>
      <vt:lpstr>Week17!WeekNumber</vt:lpstr>
      <vt:lpstr>Week18!WeekNumber</vt:lpstr>
      <vt:lpstr>Week19!WeekNumber</vt:lpstr>
      <vt:lpstr>Week20!WeekNumber</vt:lpstr>
      <vt:lpstr>Week21!WeekNumber</vt:lpstr>
      <vt:lpstr>Week22!WeekNumber</vt:lpstr>
      <vt:lpstr>Week23!WeekNumber</vt:lpstr>
      <vt:lpstr>Week24!WeekNumber</vt:lpstr>
      <vt:lpstr>Week25!WeekNumber</vt:lpstr>
      <vt:lpstr>Week26!WeekNumber</vt:lpstr>
      <vt:lpstr>Week27!WeekNumber</vt:lpstr>
      <vt:lpstr>Week28!WeekNumber</vt:lpstr>
      <vt:lpstr>Week29!WeekNumber</vt:lpstr>
      <vt:lpstr>Week30!WeekNumber</vt:lpstr>
      <vt:lpstr>Week31!WeekNumber</vt:lpstr>
      <vt:lpstr>Week32!WeekNumber</vt:lpstr>
      <vt:lpstr>Week33!WeekNumber</vt:lpstr>
      <vt:lpstr>Week34!WeekNumber</vt:lpstr>
      <vt:lpstr>Week35!WeekNumber</vt:lpstr>
      <vt:lpstr>Week36!WeekNumber</vt:lpstr>
      <vt:lpstr>Week37!WeekNumber</vt:lpstr>
      <vt:lpstr>Week38!WeekNumber</vt:lpstr>
      <vt:lpstr>Week39!WeekNumber</vt:lpstr>
      <vt:lpstr>Week40!WeekNumber</vt:lpstr>
      <vt:lpstr>Week41!WeekNumber</vt:lpstr>
      <vt:lpstr>Week42!WeekNumber</vt:lpstr>
      <vt:lpstr>Week43!WeekNumber</vt:lpstr>
      <vt:lpstr>Week44!WeekNumber</vt:lpstr>
      <vt:lpstr>Week45!WeekNumber</vt:lpstr>
      <vt:lpstr>Week46!WeekNumber</vt:lpstr>
      <vt:lpstr>Week47!WeekNumber</vt:lpstr>
      <vt:lpstr>Week48!WeekNumber</vt:lpstr>
      <vt:lpstr>Week49!WeekNumber</vt:lpstr>
      <vt:lpstr>Week50!WeekNumber</vt:lpstr>
      <vt:lpstr>Week51!WeekNumber</vt:lpstr>
      <vt:lpstr>Week52!WeekNumber</vt:lpstr>
      <vt:lpstr>Week53!WeekNumber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 Andreas</dc:creator>
  <cp:lastModifiedBy>Andreas</cp:lastModifiedBy>
  <dcterms:created xsi:type="dcterms:W3CDTF">2012-05-06T20:17:33Z</dcterms:created>
  <dcterms:modified xsi:type="dcterms:W3CDTF">2018-12-23T10:35:56Z</dcterms:modified>
</cp:coreProperties>
</file>